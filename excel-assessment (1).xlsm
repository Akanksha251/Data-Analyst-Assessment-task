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 hidePivotFieldList="1"/>
  <bookViews>
    <workbookView windowWidth="23040" windowHeight="8580" tabRatio="849" activeTab="4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<sst xmlns="http://schemas.openxmlformats.org/spreadsheetml/2006/main" count="370" uniqueCount="155">
  <si>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</si>
  <si>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</si>
  <si>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</si>
  <si>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</si>
  <si>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</si>
  <si>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</si>
  <si>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</si>
  <si>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</si>
  <si>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</si>
  <si>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</si>
  <si>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</si>
  <si>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</si>
  <si>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</si>
  <si>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</si>
  <si>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</si>
  <si>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</si>
  <si>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</si>
  <si>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</si>
  <si>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</si>
  <si>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</si>
  <si>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</si>
  <si>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</si>
  <si>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</si>
  <si>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</si>
  <si>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</si>
  <si>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</si>
  <si>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</si>
  <si>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</si>
  <si>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</si>
  <si>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</si>
  <si>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</si>
  <si>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</si>
  <si>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</si>
  <si>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</si>
  <si>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</si>
  <si>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</si>
  <si>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</si>
  <si>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</si>
  <si>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</si>
  <si>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</si>
  <si>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</si>
  <si>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</si>
  <si>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</si>
  <si>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</si>
  <si>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</si>
  <si>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</si>
  <si>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</si>
  <si>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</si>
  <si>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</si>
  <si>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</si>
  <si>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</si>
  <si>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</si>
  <si>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</si>
  <si>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</si>
  <si>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</si>
  <si>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</si>
  <si>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</si>
  <si>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</si>
  <si>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</si>
  <si>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</si>
  <si>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</si>
  <si>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</si>
  <si>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</si>
  <si>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</si>
  <si>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</si>
  <si>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</si>
  <si>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</si>
  <si>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</si>
  <si>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</si>
  <si>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</si>
  <si>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</si>
  <si>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</si>
  <si>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</si>
  <si>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</si>
  <si>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</si>
  <si>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</si>
  <si>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</si>
  <si>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</si>
  <si>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</si>
  <si>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</si>
  <si>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</si>
  <si>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</si>
  <si>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</si>
  <si>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</si>
  <si>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</si>
  <si>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 xml:space="preserve">1.select range 2.conditional formatting 3. click on New Rule 4.click Format cells that contain 4. Select a Rule Type then choose  format cells that contain 5.edit rule description </t>
  </si>
  <si>
    <t>Freeze the top row</t>
  </si>
  <si>
    <t>1. select the row to freeze 2. go to the view tab 3. freeze top row 4. select freeze top row</t>
  </si>
  <si>
    <t>Give the sum of all values greater than '20' in column H labelled 'car2'</t>
  </si>
  <si>
    <t>=SUMIFS(H2:H100, H2:H100, "&amp;"20)</t>
  </si>
  <si>
    <t>Format the dates given in column X labelled 'dates' in format: 'YYYY-MM-DD'</t>
  </si>
  <si>
    <t>1. select the dates column 2. right click then choose format cells 3. go to number tab 4. choose custom 5. Type box  "YYYY-MM-DD" 6. click ok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</si>
  <si>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</si>
  <si>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</si>
  <si>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</si>
  <si>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</si>
  <si>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</si>
  <si>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</si>
  <si>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</si>
  <si>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</si>
  <si>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</si>
  <si>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r>
      <rPr>
        <sz val="12"/>
        <color rgb="FF000000"/>
        <rFont val="Segoe UI"/>
        <charset val="204"/>
      </rPr>
      <t>Text to Columns</t>
    </r>
  </si>
  <si>
    <t>Explanation:</t>
  </si>
  <si>
    <r>
      <rPr>
        <sz val="12"/>
        <color rgb="FF374151"/>
        <rFont val="Segoe UI"/>
        <charset val="204"/>
      </rPr>
      <t>Select the Data:</t>
    </r>
    <r>
      <rPr>
        <sz val="12"/>
        <color rgb="FF374151"/>
        <rFont val="Segoe UI"/>
        <charset val="204"/>
      </rPr>
      <t xml:space="preserve"> Highlight the column in Table_A that contains the values you want to split (e.g., the "values" column).</t>
    </r>
  </si>
  <si>
    <r>
      <rPr>
        <sz val="12"/>
        <color rgb="FF374151"/>
        <rFont val="Segoe UI"/>
        <charset val="204"/>
      </rPr>
      <t>Text to Columns:</t>
    </r>
    <r>
      <rPr>
        <sz val="12"/>
        <color rgb="FF374151"/>
        <rFont val="Segoe UI"/>
        <charset val="204"/>
      </rPr>
      <t xml:space="preserve"> Go to the "Data" tab on the Excel ribbon, and click on "Text to Columns."</t>
    </r>
  </si>
  <si>
    <r>
      <rPr>
        <sz val="12"/>
        <color rgb="FF374151"/>
        <rFont val="Segoe UI"/>
        <charset val="204"/>
      </rPr>
      <t>Choose Delimited:</t>
    </r>
    <r>
      <rPr>
        <sz val="12"/>
        <color rgb="FF374151"/>
        <rFont val="Segoe UI"/>
        <charset val="204"/>
      </rPr>
      <t xml:space="preserve"> In the Text to Columns Wizard, choose "Delimited" and click "Next."</t>
    </r>
  </si>
  <si>
    <t>Example_table</t>
  </si>
  <si>
    <r>
      <rPr>
        <sz val="12"/>
        <color rgb="FF374151"/>
        <rFont val="Segoe UI"/>
        <charset val="204"/>
      </rPr>
      <t>Select Delimiters:</t>
    </r>
    <r>
      <rPr>
        <sz val="12"/>
        <color rgb="FF374151"/>
        <rFont val="Segoe UI"/>
        <charset val="204"/>
      </rPr>
      <t xml:space="preserve"> Choose the delimiter that separates your values. Based on the example_table, it seems that the "-" character is the delimiter. Select "Other" and enter "-" in the box. Click "Next."</t>
    </r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</si>
  <si>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</si>
  <si>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</si>
  <si>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</si>
  <si>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</si>
  <si>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</si>
  <si>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</si>
  <si>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</si>
  <si>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</si>
  <si>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Using appropriate formula, calculate the sum of sales in Table_A using the following condition:</t>
  </si>
  <si>
    <t>All #N/A values must be substituted with the value '20'</t>
  </si>
  <si>
    <r>
      <rPr>
        <sz val="12"/>
        <color rgb="FF000000"/>
        <rFont val="Segoe UI"/>
        <charset val="204"/>
      </rPr>
      <t>SUM(IFERROR(...))</t>
    </r>
  </si>
  <si>
    <r>
      <rPr>
        <sz val="10.5"/>
        <color rgb="FF374151"/>
        <rFont val="Courier New"/>
        <charset val="204"/>
      </rPr>
      <t>IFERROR(B2:B11, 20)</t>
    </r>
    <r>
      <rPr>
        <sz val="12"/>
        <color rgb="FF374151"/>
        <rFont val="Segoe UI"/>
        <charset val="204"/>
      </rPr>
      <t>: This part of the formula replaces any #N/A value in the specified range with '20'.</t>
    </r>
  </si>
  <si>
    <r>
      <rPr>
        <sz val="10.5"/>
        <color rgb="FF374151"/>
        <rFont val="Courier New"/>
        <charset val="204"/>
      </rPr>
      <t>SUM(IFERROR(...))</t>
    </r>
    <r>
      <rPr>
        <sz val="12"/>
        <color rgb="FF374151"/>
        <rFont val="Segoe UI"/>
        <charset val="204"/>
      </rPr>
      <t xml:space="preserve">: The </t>
    </r>
    <r>
      <rPr>
        <sz val="10.5"/>
        <color rgb="FF374151"/>
        <rFont val="Courier New"/>
        <charset val="204"/>
      </rPr>
      <t>SUM</t>
    </r>
    <r>
      <rPr>
        <sz val="12"/>
        <color rgb="FF374151"/>
        <rFont val="Segoe UI"/>
        <charset val="204"/>
      </rPr>
      <t xml:space="preserve"> function then calculates the sum of the modified range.</t>
    </r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</si>
  <si>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</si>
  <si>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</si>
  <si>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</si>
  <si>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</si>
  <si>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</si>
  <si>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</si>
  <si>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</si>
  <si>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</si>
  <si>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</si>
  <si>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</si>
  <si>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</si>
  <si>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</si>
  <si>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</si>
  <si>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</si>
  <si>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</si>
  <si>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r>
      <rPr>
        <sz val="12"/>
        <color rgb="FF000000"/>
        <rFont val="Segoe UI"/>
        <charset val="204"/>
      </rPr>
      <t>INDEX and MATCH</t>
    </r>
  </si>
  <si>
    <r>
      <rPr>
        <sz val="10.5"/>
        <color rgb="FF374151"/>
        <rFont val="Courier New"/>
        <charset val="204"/>
      </rPr>
      <t>INDEX(Table_A!$B$1:$K$10, MATCH(A2, Table_A!$A$1:$A$10, 0), MATCH(B2, Table_A!$B$1:$K$1, 0))</t>
    </r>
    <r>
      <rPr>
        <sz val="12"/>
        <color rgb="FF374151"/>
        <rFont val="Segoe UI"/>
        <charset val="204"/>
      </rPr>
      <t>: This part retrieves the value from "Table_A" based on the matched "name_1" and "name_2."</t>
    </r>
  </si>
  <si>
    <r>
      <rPr>
        <sz val="10.5"/>
        <color rgb="FF374151"/>
        <rFont val="Courier New"/>
        <charset val="204"/>
      </rPr>
      <t>IFERROR(..., "")</t>
    </r>
    <r>
      <rPr>
        <sz val="12"/>
        <color rgb="FF374151"/>
        <rFont val="Segoe UI"/>
        <charset val="204"/>
      </rPr>
      <t>: Handles errors by replacing them with an empty string.</t>
    </r>
  </si>
  <si>
    <r>
      <rPr>
        <sz val="10.5"/>
        <color rgb="FF374151"/>
        <rFont val="Courier New"/>
        <charset val="204"/>
      </rPr>
      <t>+</t>
    </r>
    <r>
      <rPr>
        <sz val="12"/>
        <color rgb="FF374151"/>
        <rFont val="Segoe UI"/>
        <charset val="204"/>
      </rPr>
      <t>: Combines the values from "Table_A" and "Table_B."</t>
    </r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</si>
  <si>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</si>
  <si>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</si>
  <si>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</si>
  <si>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</si>
  <si>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</si>
  <si>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</si>
  <si>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</si>
  <si>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</si>
  <si>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</si>
  <si>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</si>
  <si>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</si>
  <si>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</si>
  <si>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</si>
  <si>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</si>
  <si>
    <t xml:space="preserve">
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</si>
</sst>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yyyy/mm/dd;@"/>
    <numFmt numFmtId="181" formatCode="hh:mm:ss;@"/>
    <numFmt numFmtId="182" formatCode="dd/mm/yyyy"/>
  </numFmts>
  <fonts count="39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sz val="12"/>
      <color rgb="FF000000"/>
      <name val="Segoe UI"/>
      <charset val="204"/>
    </font>
    <font>
      <sz val="10.5"/>
      <color rgb="FF374151"/>
      <name val="Courier New"/>
      <charset val="204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sz val="12"/>
      <color rgb="FF374151"/>
      <name val="Segoe UI"/>
      <charset val="204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0"/>
      <color rgb="FF00000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color rgb="FF000000"/>
      <name val="Times New Roman"/>
      <charset val="134"/>
    </font>
    <font>
      <sz val="10"/>
      <name val="Times New Roman"/>
      <charset val="204"/>
    </font>
  </fonts>
  <fills count="3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176" fontId="17" fillId="0" borderId="0" applyFont="0" applyFill="0" applyBorder="0" applyAlignment="0" applyProtection="0">
      <alignment vertical="center"/>
    </xf>
    <xf numFmtId="177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178" fontId="17" fillId="0" borderId="0" applyFont="0" applyFill="0" applyBorder="0" applyAlignment="0" applyProtection="0">
      <alignment vertical="center"/>
    </xf>
    <xf numFmtId="179" fontId="17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7" fillId="5" borderId="12" applyNumberFormat="0" applyFon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3" applyNumberFormat="0" applyFill="0" applyAlignment="0" applyProtection="0">
      <alignment vertical="center"/>
    </xf>
    <xf numFmtId="0" fontId="24" fillId="0" borderId="13" applyNumberFormat="0" applyFill="0" applyAlignment="0" applyProtection="0">
      <alignment vertical="center"/>
    </xf>
    <xf numFmtId="0" fontId="25" fillId="0" borderId="14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6" borderId="15" applyNumberFormat="0" applyAlignment="0" applyProtection="0">
      <alignment vertical="center"/>
    </xf>
    <xf numFmtId="0" fontId="27" fillId="7" borderId="16" applyNumberFormat="0" applyAlignment="0" applyProtection="0">
      <alignment vertical="center"/>
    </xf>
    <xf numFmtId="0" fontId="28" fillId="7" borderId="15" applyNumberFormat="0" applyAlignment="0" applyProtection="0">
      <alignment vertical="center"/>
    </xf>
    <xf numFmtId="0" fontId="29" fillId="8" borderId="17" applyNumberFormat="0" applyAlignment="0" applyProtection="0">
      <alignment vertical="center"/>
    </xf>
    <xf numFmtId="0" fontId="30" fillId="0" borderId="18" applyNumberFormat="0" applyFill="0" applyAlignment="0" applyProtection="0">
      <alignment vertical="center"/>
    </xf>
    <xf numFmtId="0" fontId="31" fillId="0" borderId="19" applyNumberFormat="0" applyFill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4" fillId="11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6" fillId="13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20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5" fillId="27" borderId="0" applyNumberFormat="0" applyBorder="0" applyAlignment="0" applyProtection="0">
      <alignment vertical="center"/>
    </xf>
    <xf numFmtId="0" fontId="35" fillId="28" borderId="0" applyNumberFormat="0" applyBorder="0" applyAlignment="0" applyProtection="0">
      <alignment vertical="center"/>
    </xf>
    <xf numFmtId="0" fontId="36" fillId="29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36" fillId="34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7" fillId="0" borderId="0"/>
    <xf numFmtId="0" fontId="17" fillId="0" borderId="0"/>
    <xf numFmtId="0" fontId="38" fillId="0" borderId="0">
      <alignment vertical="top" wrapText="1"/>
    </xf>
  </cellStyleXfs>
  <cellXfs count="53">
    <xf numFmtId="0" fontId="0" fillId="0" borderId="0" xfId="0"/>
    <xf numFmtId="0" fontId="1" fillId="0" borderId="0" xfId="0" applyFont="1"/>
    <xf numFmtId="0" fontId="2" fillId="2" borderId="0" xfId="49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left" indent="1"/>
    </xf>
    <xf numFmtId="0" fontId="8" fillId="0" borderId="0" xfId="0" applyFont="1"/>
    <xf numFmtId="0" fontId="9" fillId="0" borderId="0" xfId="49" applyFont="1"/>
    <xf numFmtId="0" fontId="10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 applyAlignment="1">
      <alignment wrapText="1"/>
    </xf>
    <xf numFmtId="0" fontId="4" fillId="0" borderId="4" xfId="0" applyFont="1" applyBorder="1"/>
    <xf numFmtId="0" fontId="4" fillId="0" borderId="5" xfId="0" applyFont="1" applyBorder="1"/>
    <xf numFmtId="0" fontId="1" fillId="0" borderId="6" xfId="0" applyFont="1" applyBorder="1" applyAlignment="1">
      <alignment wrapText="1"/>
    </xf>
    <xf numFmtId="0" fontId="1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8" fillId="0" borderId="1" xfId="0" applyFont="1" applyBorder="1"/>
    <xf numFmtId="0" fontId="11" fillId="0" borderId="0" xfId="0" applyFont="1"/>
    <xf numFmtId="180" fontId="4" fillId="0" borderId="1" xfId="0" applyNumberFormat="1" applyFont="1" applyBorder="1"/>
    <xf numFmtId="0" fontId="12" fillId="0" borderId="0" xfId="0" applyFont="1"/>
    <xf numFmtId="0" fontId="8" fillId="0" borderId="1" xfId="0" applyFont="1" applyBorder="1" applyAlignment="1">
      <alignment vertical="center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2" fillId="2" borderId="0" xfId="49" applyFont="1" applyFill="1" applyAlignment="1">
      <alignment horizontal="center" wrapText="1"/>
    </xf>
    <xf numFmtId="0" fontId="8" fillId="0" borderId="2" xfId="0" applyFont="1" applyBorder="1" applyAlignment="1">
      <alignment wrapText="1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/>
    <xf numFmtId="0" fontId="8" fillId="3" borderId="1" xfId="0" applyFont="1" applyFill="1" applyBorder="1"/>
    <xf numFmtId="0" fontId="8" fillId="3" borderId="3" xfId="0" applyFont="1" applyFill="1" applyBorder="1"/>
    <xf numFmtId="0" fontId="4" fillId="0" borderId="6" xfId="0" applyFont="1" applyBorder="1"/>
    <xf numFmtId="0" fontId="1" fillId="0" borderId="0" xfId="0" applyFont="1" applyAlignment="1">
      <alignment wrapText="1"/>
    </xf>
    <xf numFmtId="0" fontId="13" fillId="2" borderId="0" xfId="0" applyFont="1" applyFill="1"/>
    <xf numFmtId="0" fontId="14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181" fontId="4" fillId="0" borderId="0" xfId="0" applyNumberFormat="1" applyFont="1"/>
    <xf numFmtId="0" fontId="15" fillId="0" borderId="0" xfId="0" applyFont="1"/>
    <xf numFmtId="181" fontId="15" fillId="0" borderId="0" xfId="0" applyNumberFormat="1" applyFont="1"/>
    <xf numFmtId="0" fontId="8" fillId="3" borderId="0" xfId="0" applyFont="1" applyFill="1"/>
    <xf numFmtId="0" fontId="8" fillId="4" borderId="0" xfId="0" applyFont="1" applyFill="1"/>
    <xf numFmtId="182" fontId="4" fillId="0" borderId="0" xfId="0" applyNumberFormat="1" applyFont="1"/>
    <xf numFmtId="0" fontId="5" fillId="0" borderId="1" xfId="0" applyFont="1" applyBorder="1"/>
    <xf numFmtId="0" fontId="10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  <xf numFmtId="0" fontId="16" fillId="0" borderId="0" xfId="0" applyFont="1" quotePrefix="1"/>
  </cellXfs>
  <cellStyles count="5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Normal 2 2" xfId="50"/>
    <cellStyle name="Normal 2 3" xfId="51"/>
    <cellStyle name="Normal 3" xfId="52"/>
    <cellStyle name="Normal 3 2" xfId="53"/>
    <cellStyle name="Normal 4" xfId="54"/>
    <cellStyle name="Normal 5" xfId="55"/>
    <cellStyle name="Normal 5 2" xfId="56"/>
    <cellStyle name="Normal 5 3" xfId="57"/>
    <cellStyle name="Normal 7" xfId="58"/>
  </cellStyles>
  <dxfs count="4">
    <dxf>
      <font>
        <color rgb="FFFF0000"/>
      </font>
    </dxf>
    <dxf>
      <font>
        <color rgb="FF9C0006"/>
      </font>
      <fill>
        <patternFill patternType="solid">
          <bgColor rgb="FFFFC7CE"/>
        </patternFill>
      </fill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 xr9:uid="{3B19C322-1B5D-43B9-822F-A31CFFAAA4A5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-assessment%20(2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structions"/>
      <sheetName val="Dataset"/>
      <sheetName val="Task_1"/>
      <sheetName val="Task_2"/>
      <sheetName val="Task_3"/>
      <sheetName val="Task_4"/>
      <sheetName val="Task_5"/>
    </sheetNames>
    <sheetDataSet>
      <sheetData sheetId="0"/>
      <sheetData sheetId="1">
        <row r="1">
          <cell r="A1" t="str">
            <v>name</v>
          </cell>
          <cell r="B1" t="str">
            <v>ID</v>
          </cell>
          <cell r="C1" t="str">
            <v>start_day</v>
          </cell>
          <cell r="D1" t="str">
            <v>start_time</v>
          </cell>
          <cell r="E1" t="str">
            <v>end_day</v>
          </cell>
          <cell r="F1" t="str">
            <v>end_time</v>
          </cell>
          <cell r="G1" t="str">
            <v>car1</v>
          </cell>
          <cell r="H1" t="str">
            <v>car2</v>
          </cell>
          <cell r="I1" t="str">
            <v>car3</v>
          </cell>
        </row>
        <row r="2">
          <cell r="A2" t="str">
            <v>Warrendale</v>
          </cell>
          <cell r="B2">
            <v>20000</v>
          </cell>
          <cell r="C2" t="str">
            <v>Monday</v>
          </cell>
          <cell r="D2">
            <v>0</v>
          </cell>
          <cell r="E2" t="str">
            <v>Sunday</v>
          </cell>
          <cell r="F2">
            <v>0.999988425925926</v>
          </cell>
          <cell r="G2">
            <v>2.7</v>
          </cell>
          <cell r="H2">
            <v>3.6</v>
          </cell>
          <cell r="I2">
            <v>4.2</v>
          </cell>
          <cell r="J2">
            <v>-1</v>
          </cell>
          <cell r="K2">
            <v>-1</v>
          </cell>
          <cell r="L2">
            <v>-1</v>
          </cell>
          <cell r="M2">
            <v>5.3</v>
          </cell>
          <cell r="N2">
            <v>7.6</v>
          </cell>
          <cell r="O2">
            <v>8.9</v>
          </cell>
          <cell r="P2">
            <v>2.7</v>
          </cell>
          <cell r="Q2">
            <v>3.6</v>
          </cell>
          <cell r="R2">
            <v>4.2</v>
          </cell>
          <cell r="S2">
            <v>7.6</v>
          </cell>
          <cell r="T2">
            <v>8.9</v>
          </cell>
          <cell r="U2">
            <v>3.6</v>
          </cell>
          <cell r="V2">
            <v>4.2</v>
          </cell>
          <cell r="W2">
            <v>4.2</v>
          </cell>
        </row>
        <row r="3">
          <cell r="A3" t="str">
            <v>Butler Valley</v>
          </cell>
          <cell r="B3">
            <v>20002</v>
          </cell>
          <cell r="C3" t="str">
            <v>Monday</v>
          </cell>
          <cell r="D3">
            <v>0</v>
          </cell>
          <cell r="E3" t="str">
            <v>Sunday</v>
          </cell>
          <cell r="F3">
            <v>0.999988425925926</v>
          </cell>
          <cell r="G3">
            <v>2.7</v>
          </cell>
          <cell r="H3">
            <v>3.6</v>
          </cell>
          <cell r="I3">
            <v>4.2</v>
          </cell>
          <cell r="J3">
            <v>-1</v>
          </cell>
          <cell r="K3">
            <v>-1</v>
          </cell>
          <cell r="L3">
            <v>-1</v>
          </cell>
          <cell r="M3">
            <v>5.3</v>
          </cell>
          <cell r="N3">
            <v>7.6</v>
          </cell>
          <cell r="O3">
            <v>8.9</v>
          </cell>
          <cell r="P3">
            <v>2.7</v>
          </cell>
          <cell r="Q3">
            <v>3.6</v>
          </cell>
          <cell r="R3">
            <v>4.2</v>
          </cell>
          <cell r="S3">
            <v>7.6</v>
          </cell>
          <cell r="T3">
            <v>8.9</v>
          </cell>
          <cell r="U3">
            <v>3.6</v>
          </cell>
          <cell r="V3">
            <v>4.2</v>
          </cell>
          <cell r="W3">
            <v>4.2</v>
          </cell>
        </row>
        <row r="4">
          <cell r="A4" t="str">
            <v>Allegheny Valley</v>
          </cell>
          <cell r="B4">
            <v>20004</v>
          </cell>
          <cell r="C4" t="str">
            <v>Monday</v>
          </cell>
          <cell r="D4">
            <v>0</v>
          </cell>
          <cell r="E4" t="str">
            <v>Sunday</v>
          </cell>
          <cell r="F4">
            <v>0.999988425925926</v>
          </cell>
          <cell r="G4">
            <v>3.6</v>
          </cell>
          <cell r="H4">
            <v>5.4</v>
          </cell>
          <cell r="I4">
            <v>5.8</v>
          </cell>
          <cell r="J4">
            <v>-1</v>
          </cell>
          <cell r="K4">
            <v>-1</v>
          </cell>
          <cell r="L4">
            <v>-1</v>
          </cell>
          <cell r="M4">
            <v>7.6</v>
          </cell>
          <cell r="N4">
            <v>11.1</v>
          </cell>
          <cell r="O4">
            <v>12.2</v>
          </cell>
          <cell r="P4">
            <v>3.6</v>
          </cell>
          <cell r="Q4">
            <v>5.4</v>
          </cell>
          <cell r="R4">
            <v>5.8</v>
          </cell>
          <cell r="S4">
            <v>11.1</v>
          </cell>
          <cell r="T4">
            <v>12.2</v>
          </cell>
          <cell r="U4">
            <v>5.4</v>
          </cell>
          <cell r="V4">
            <v>5.8</v>
          </cell>
          <cell r="W4">
            <v>5.8</v>
          </cell>
        </row>
        <row r="5">
          <cell r="A5" t="str">
            <v>Pittsburgh</v>
          </cell>
          <cell r="B5">
            <v>20006</v>
          </cell>
          <cell r="C5" t="str">
            <v>Monday</v>
          </cell>
          <cell r="D5">
            <v>0</v>
          </cell>
          <cell r="E5" t="str">
            <v>Sunday</v>
          </cell>
          <cell r="F5">
            <v>0.999988425925926</v>
          </cell>
          <cell r="G5">
            <v>4.9</v>
          </cell>
          <cell r="H5">
            <v>6.6</v>
          </cell>
          <cell r="I5">
            <v>8.1</v>
          </cell>
          <cell r="J5">
            <v>-1</v>
          </cell>
          <cell r="K5">
            <v>-1</v>
          </cell>
          <cell r="L5">
            <v>-1</v>
          </cell>
          <cell r="M5">
            <v>10</v>
          </cell>
          <cell r="N5">
            <v>13.3</v>
          </cell>
          <cell r="O5">
            <v>17</v>
          </cell>
          <cell r="P5">
            <v>4.9</v>
          </cell>
          <cell r="Q5">
            <v>6.6</v>
          </cell>
          <cell r="R5">
            <v>8.1</v>
          </cell>
          <cell r="S5">
            <v>13.3</v>
          </cell>
          <cell r="T5">
            <v>17</v>
          </cell>
          <cell r="U5">
            <v>6.6</v>
          </cell>
          <cell r="V5">
            <v>8.1</v>
          </cell>
          <cell r="W5">
            <v>8.1</v>
          </cell>
        </row>
        <row r="6">
          <cell r="A6" t="str">
            <v>Irwin</v>
          </cell>
          <cell r="B6">
            <v>20008</v>
          </cell>
          <cell r="C6" t="str">
            <v>Monday</v>
          </cell>
          <cell r="D6">
            <v>0</v>
          </cell>
          <cell r="E6" t="str">
            <v>Sunday</v>
          </cell>
          <cell r="F6">
            <v>0.999988425925926</v>
          </cell>
          <cell r="G6">
            <v>6.6</v>
          </cell>
          <cell r="H6">
            <v>8.8</v>
          </cell>
          <cell r="I6">
            <v>11</v>
          </cell>
          <cell r="J6">
            <v>-1</v>
          </cell>
          <cell r="K6">
            <v>-1</v>
          </cell>
          <cell r="L6">
            <v>-1</v>
          </cell>
          <cell r="M6">
            <v>13.3</v>
          </cell>
          <cell r="N6">
            <v>18</v>
          </cell>
          <cell r="O6">
            <v>22.5</v>
          </cell>
          <cell r="P6">
            <v>6.6</v>
          </cell>
          <cell r="Q6">
            <v>8.8</v>
          </cell>
          <cell r="R6">
            <v>11</v>
          </cell>
          <cell r="S6">
            <v>18</v>
          </cell>
          <cell r="T6">
            <v>22.5</v>
          </cell>
          <cell r="U6">
            <v>8.8</v>
          </cell>
          <cell r="V6">
            <v>11</v>
          </cell>
          <cell r="W6">
            <v>11</v>
          </cell>
        </row>
        <row r="7">
          <cell r="A7" t="str">
            <v>New Stanton</v>
          </cell>
          <cell r="B7">
            <v>20010</v>
          </cell>
          <cell r="C7" t="str">
            <v>Monday</v>
          </cell>
          <cell r="D7">
            <v>0</v>
          </cell>
          <cell r="E7" t="str">
            <v>Sunday</v>
          </cell>
          <cell r="F7">
            <v>0.999988425925926</v>
          </cell>
          <cell r="G7">
            <v>7.1</v>
          </cell>
          <cell r="H7">
            <v>10.4</v>
          </cell>
          <cell r="I7">
            <v>12.8</v>
          </cell>
          <cell r="J7">
            <v>-1</v>
          </cell>
          <cell r="K7">
            <v>-1</v>
          </cell>
          <cell r="L7">
            <v>-1</v>
          </cell>
          <cell r="M7">
            <v>14.4</v>
          </cell>
          <cell r="N7">
            <v>21.5</v>
          </cell>
          <cell r="O7">
            <v>26.1</v>
          </cell>
          <cell r="P7">
            <v>7.1</v>
          </cell>
          <cell r="Q7">
            <v>10.4</v>
          </cell>
          <cell r="R7">
            <v>12.8</v>
          </cell>
          <cell r="S7">
            <v>21.5</v>
          </cell>
          <cell r="T7">
            <v>26.1</v>
          </cell>
          <cell r="U7">
            <v>10.4</v>
          </cell>
          <cell r="V7">
            <v>12.8</v>
          </cell>
          <cell r="W7">
            <v>12.8</v>
          </cell>
        </row>
        <row r="8">
          <cell r="A8" t="str">
            <v>Donegal</v>
          </cell>
          <cell r="B8">
            <v>20012</v>
          </cell>
          <cell r="C8" t="str">
            <v>Monday</v>
          </cell>
          <cell r="D8">
            <v>0</v>
          </cell>
          <cell r="E8" t="str">
            <v>Sunday</v>
          </cell>
          <cell r="F8">
            <v>0.999988425925926</v>
          </cell>
          <cell r="G8">
            <v>9.4</v>
          </cell>
          <cell r="H8">
            <v>13.8</v>
          </cell>
          <cell r="I8">
            <v>16.1</v>
          </cell>
          <cell r="J8">
            <v>-1</v>
          </cell>
          <cell r="K8">
            <v>-1</v>
          </cell>
          <cell r="L8">
            <v>-1</v>
          </cell>
          <cell r="M8">
            <v>19.2</v>
          </cell>
          <cell r="N8">
            <v>28.3</v>
          </cell>
          <cell r="O8">
            <v>32.8</v>
          </cell>
          <cell r="P8">
            <v>9.4</v>
          </cell>
          <cell r="Q8">
            <v>13.8</v>
          </cell>
          <cell r="R8">
            <v>16.1</v>
          </cell>
          <cell r="S8">
            <v>28.3</v>
          </cell>
          <cell r="T8">
            <v>32.8</v>
          </cell>
          <cell r="U8">
            <v>13.8</v>
          </cell>
          <cell r="V8">
            <v>16.1</v>
          </cell>
          <cell r="W8">
            <v>16.1</v>
          </cell>
        </row>
        <row r="9">
          <cell r="A9" t="str">
            <v>Somerset</v>
          </cell>
          <cell r="B9">
            <v>20014</v>
          </cell>
          <cell r="C9" t="str">
            <v>Monday</v>
          </cell>
          <cell r="D9">
            <v>0</v>
          </cell>
          <cell r="E9" t="str">
            <v>Sunday</v>
          </cell>
          <cell r="F9">
            <v>0.999988425925926</v>
          </cell>
          <cell r="G9">
            <v>11.6</v>
          </cell>
          <cell r="H9">
            <v>17.3</v>
          </cell>
          <cell r="I9">
            <v>21.3</v>
          </cell>
          <cell r="J9">
            <v>-1</v>
          </cell>
          <cell r="K9">
            <v>-1</v>
          </cell>
          <cell r="L9">
            <v>-1</v>
          </cell>
          <cell r="M9">
            <v>23.6</v>
          </cell>
          <cell r="N9">
            <v>35.2</v>
          </cell>
          <cell r="O9">
            <v>43</v>
          </cell>
          <cell r="P9">
            <v>11.6</v>
          </cell>
          <cell r="Q9">
            <v>17.3</v>
          </cell>
          <cell r="R9">
            <v>21.3</v>
          </cell>
          <cell r="S9">
            <v>35.2</v>
          </cell>
          <cell r="T9">
            <v>43</v>
          </cell>
          <cell r="U9">
            <v>17.3</v>
          </cell>
          <cell r="V9">
            <v>21.3</v>
          </cell>
          <cell r="W9">
            <v>21.3</v>
          </cell>
        </row>
        <row r="10">
          <cell r="A10" t="str">
            <v>Bedford</v>
          </cell>
          <cell r="B10">
            <v>20016</v>
          </cell>
          <cell r="C10" t="str">
            <v>Monday</v>
          </cell>
          <cell r="D10">
            <v>0</v>
          </cell>
          <cell r="E10" t="str">
            <v>Sunday</v>
          </cell>
          <cell r="F10">
            <v>0.999988425925926</v>
          </cell>
          <cell r="G10">
            <v>16.1</v>
          </cell>
          <cell r="H10">
            <v>24.1</v>
          </cell>
          <cell r="I10">
            <v>29.1</v>
          </cell>
          <cell r="J10">
            <v>-1</v>
          </cell>
          <cell r="K10">
            <v>-1</v>
          </cell>
          <cell r="L10">
            <v>-1</v>
          </cell>
          <cell r="M10">
            <v>32.8</v>
          </cell>
          <cell r="N10">
            <v>49</v>
          </cell>
          <cell r="O10">
            <v>59</v>
          </cell>
          <cell r="P10">
            <v>16.1</v>
          </cell>
          <cell r="Q10">
            <v>24.1</v>
          </cell>
          <cell r="R10">
            <v>29.1</v>
          </cell>
          <cell r="S10">
            <v>49</v>
          </cell>
          <cell r="T10">
            <v>59</v>
          </cell>
          <cell r="U10">
            <v>24.1</v>
          </cell>
          <cell r="V10">
            <v>29.1</v>
          </cell>
          <cell r="W10">
            <v>29.1</v>
          </cell>
        </row>
        <row r="11">
          <cell r="A11" t="str">
            <v>Breezewood</v>
          </cell>
          <cell r="B11">
            <v>20018</v>
          </cell>
          <cell r="C11" t="str">
            <v>Monday</v>
          </cell>
          <cell r="D11">
            <v>0</v>
          </cell>
          <cell r="E11" t="str">
            <v>Sunday</v>
          </cell>
          <cell r="F11">
            <v>0.999988425925926</v>
          </cell>
          <cell r="G11">
            <v>18.4</v>
          </cell>
          <cell r="H11">
            <v>27.5</v>
          </cell>
          <cell r="I11">
            <v>33.8</v>
          </cell>
          <cell r="J11">
            <v>-1</v>
          </cell>
          <cell r="K11">
            <v>-1</v>
          </cell>
          <cell r="L11">
            <v>-1</v>
          </cell>
          <cell r="M11">
            <v>37.2</v>
          </cell>
          <cell r="N11">
            <v>55.6</v>
          </cell>
          <cell r="O11">
            <v>67.9</v>
          </cell>
          <cell r="P11">
            <v>18.4</v>
          </cell>
          <cell r="Q11">
            <v>27.5</v>
          </cell>
          <cell r="R11">
            <v>33.8</v>
          </cell>
          <cell r="S11">
            <v>55.6</v>
          </cell>
          <cell r="T11">
            <v>67.9</v>
          </cell>
          <cell r="U11">
            <v>27.5</v>
          </cell>
          <cell r="V11">
            <v>33.8</v>
          </cell>
          <cell r="W11">
            <v>33.8</v>
          </cell>
        </row>
        <row r="12">
          <cell r="A12" t="str">
            <v>Fort Littleton</v>
          </cell>
          <cell r="B12">
            <v>20020</v>
          </cell>
          <cell r="C12" t="str">
            <v>Monday</v>
          </cell>
          <cell r="D12">
            <v>0</v>
          </cell>
          <cell r="E12" t="str">
            <v>Sunday</v>
          </cell>
          <cell r="F12">
            <v>0.999988425925926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</row>
        <row r="13">
          <cell r="A13" t="str">
            <v>Willow Hill</v>
          </cell>
          <cell r="B13">
            <v>20022</v>
          </cell>
          <cell r="C13" t="str">
            <v>Monday</v>
          </cell>
          <cell r="D13">
            <v>0</v>
          </cell>
          <cell r="E13" t="str">
            <v>Sunday</v>
          </cell>
          <cell r="F13">
            <v>0.999988425925926</v>
          </cell>
          <cell r="G13">
            <v>21.9</v>
          </cell>
          <cell r="H13">
            <v>32.1</v>
          </cell>
          <cell r="I13">
            <v>40.1</v>
          </cell>
          <cell r="J13">
            <v>-1</v>
          </cell>
          <cell r="K13">
            <v>-1</v>
          </cell>
          <cell r="L13">
            <v>-1</v>
          </cell>
          <cell r="M13">
            <v>42.3</v>
          </cell>
          <cell r="N13">
            <v>61.5</v>
          </cell>
          <cell r="O13">
            <v>76.6</v>
          </cell>
          <cell r="P13">
            <v>21.9</v>
          </cell>
          <cell r="Q13">
            <v>32.1</v>
          </cell>
          <cell r="R13">
            <v>40.1</v>
          </cell>
          <cell r="S13">
            <v>61.5</v>
          </cell>
          <cell r="T13">
            <v>76.6</v>
          </cell>
          <cell r="U13">
            <v>32.1</v>
          </cell>
          <cell r="V13">
            <v>40.1</v>
          </cell>
          <cell r="W13">
            <v>40.1</v>
          </cell>
        </row>
        <row r="14">
          <cell r="A14" t="str">
            <v>Blue Mountain</v>
          </cell>
          <cell r="B14">
            <v>20024</v>
          </cell>
          <cell r="C14" t="str">
            <v>Monday</v>
          </cell>
          <cell r="D14">
            <v>0</v>
          </cell>
          <cell r="E14" t="str">
            <v>Sunday</v>
          </cell>
          <cell r="F14">
            <v>0.999988425925926</v>
          </cell>
          <cell r="G14">
            <v>23.5</v>
          </cell>
          <cell r="H14">
            <v>34.7</v>
          </cell>
          <cell r="I14">
            <v>42.7</v>
          </cell>
          <cell r="J14">
            <v>-1</v>
          </cell>
          <cell r="K14">
            <v>-1</v>
          </cell>
          <cell r="L14">
            <v>-1</v>
          </cell>
          <cell r="M14">
            <v>47.7</v>
          </cell>
          <cell r="N14">
            <v>70.8</v>
          </cell>
          <cell r="O14">
            <v>86.6</v>
          </cell>
          <cell r="P14">
            <v>23.5</v>
          </cell>
          <cell r="Q14">
            <v>34.7</v>
          </cell>
          <cell r="R14">
            <v>42.7</v>
          </cell>
          <cell r="S14">
            <v>70.8</v>
          </cell>
          <cell r="T14">
            <v>86.6</v>
          </cell>
          <cell r="U14">
            <v>34.7</v>
          </cell>
          <cell r="V14">
            <v>42.7</v>
          </cell>
          <cell r="W14">
            <v>42.7</v>
          </cell>
        </row>
        <row r="15">
          <cell r="A15" t="str">
            <v>Carlisle</v>
          </cell>
          <cell r="B15">
            <v>20026</v>
          </cell>
          <cell r="C15" t="str">
            <v>Monday</v>
          </cell>
          <cell r="D15">
            <v>0</v>
          </cell>
          <cell r="E15" t="str">
            <v>Sunday</v>
          </cell>
          <cell r="F15">
            <v>0.999988425925926</v>
          </cell>
          <cell r="G15">
            <v>26.8</v>
          </cell>
          <cell r="H15">
            <v>39.3</v>
          </cell>
          <cell r="I15">
            <v>47.9</v>
          </cell>
          <cell r="J15">
            <v>-1</v>
          </cell>
          <cell r="K15">
            <v>-1</v>
          </cell>
          <cell r="L15">
            <v>-1</v>
          </cell>
          <cell r="M15">
            <v>54.6</v>
          </cell>
          <cell r="N15">
            <v>79.6</v>
          </cell>
          <cell r="O15">
            <v>96.8</v>
          </cell>
          <cell r="P15">
            <v>26.8</v>
          </cell>
          <cell r="Q15">
            <v>39.3</v>
          </cell>
          <cell r="R15">
            <v>47.9</v>
          </cell>
          <cell r="S15">
            <v>79.6</v>
          </cell>
          <cell r="T15">
            <v>96.8</v>
          </cell>
          <cell r="U15">
            <v>39.3</v>
          </cell>
          <cell r="V15">
            <v>47.9</v>
          </cell>
          <cell r="W15">
            <v>47.9</v>
          </cell>
        </row>
        <row r="16">
          <cell r="A16" t="str">
            <v>Gettysburg Pike</v>
          </cell>
          <cell r="B16">
            <v>20028</v>
          </cell>
          <cell r="C16" t="str">
            <v>Monday</v>
          </cell>
          <cell r="D16">
            <v>0</v>
          </cell>
          <cell r="E16" t="str">
            <v>Sunday</v>
          </cell>
          <cell r="F16">
            <v>0.999988425925926</v>
          </cell>
          <cell r="G16">
            <v>28</v>
          </cell>
          <cell r="H16">
            <v>41</v>
          </cell>
          <cell r="I16">
            <v>50.1</v>
          </cell>
          <cell r="J16">
            <v>-1</v>
          </cell>
          <cell r="K16">
            <v>-1</v>
          </cell>
          <cell r="L16">
            <v>-1</v>
          </cell>
          <cell r="M16">
            <v>56.7</v>
          </cell>
          <cell r="N16">
            <v>83.2</v>
          </cell>
          <cell r="O16">
            <v>101.3</v>
          </cell>
          <cell r="P16">
            <v>28</v>
          </cell>
          <cell r="Q16">
            <v>41</v>
          </cell>
          <cell r="R16">
            <v>50.1</v>
          </cell>
          <cell r="S16">
            <v>83.2</v>
          </cell>
          <cell r="T16">
            <v>101.3</v>
          </cell>
          <cell r="U16">
            <v>41</v>
          </cell>
          <cell r="V16">
            <v>50.1</v>
          </cell>
          <cell r="W16">
            <v>50.1</v>
          </cell>
        </row>
        <row r="17">
          <cell r="A17" t="str">
            <v>Harrisburg West</v>
          </cell>
          <cell r="B17">
            <v>20030</v>
          </cell>
          <cell r="C17" t="str">
            <v>Monday</v>
          </cell>
          <cell r="D17">
            <v>0</v>
          </cell>
          <cell r="E17" t="str">
            <v>Sunday</v>
          </cell>
          <cell r="F17">
            <v>0.999988425925926</v>
          </cell>
          <cell r="G17">
            <v>28.5</v>
          </cell>
          <cell r="H17">
            <v>42.3</v>
          </cell>
          <cell r="I17">
            <v>52.3</v>
          </cell>
          <cell r="J17">
            <v>-1</v>
          </cell>
          <cell r="K17">
            <v>-1</v>
          </cell>
          <cell r="L17">
            <v>-1</v>
          </cell>
          <cell r="M17">
            <v>58.3</v>
          </cell>
          <cell r="N17">
            <v>85.4</v>
          </cell>
          <cell r="O17">
            <v>106.1</v>
          </cell>
          <cell r="P17">
            <v>28.5</v>
          </cell>
          <cell r="Q17">
            <v>42.3</v>
          </cell>
          <cell r="R17">
            <v>52.3</v>
          </cell>
          <cell r="S17">
            <v>85.4</v>
          </cell>
          <cell r="T17">
            <v>106.1</v>
          </cell>
          <cell r="U17">
            <v>42.3</v>
          </cell>
          <cell r="V17">
            <v>52.3</v>
          </cell>
          <cell r="W17">
            <v>52.3</v>
          </cell>
        </row>
        <row r="18">
          <cell r="A18" t="str">
            <v>Harrisburg East</v>
          </cell>
          <cell r="B18">
            <v>20032</v>
          </cell>
          <cell r="C18" t="str">
            <v>Monday</v>
          </cell>
          <cell r="D18">
            <v>0</v>
          </cell>
          <cell r="E18" t="str">
            <v>Sunday</v>
          </cell>
          <cell r="F18">
            <v>0.999988425925926</v>
          </cell>
          <cell r="G18">
            <v>29.1</v>
          </cell>
          <cell r="H18">
            <v>43.3</v>
          </cell>
          <cell r="I18">
            <v>53.7</v>
          </cell>
          <cell r="J18">
            <v>-1</v>
          </cell>
          <cell r="K18">
            <v>-1</v>
          </cell>
          <cell r="L18">
            <v>-1</v>
          </cell>
          <cell r="M18">
            <v>59</v>
          </cell>
          <cell r="N18">
            <v>87.6</v>
          </cell>
          <cell r="O18">
            <v>108.8</v>
          </cell>
          <cell r="P18">
            <v>29.1</v>
          </cell>
          <cell r="Q18">
            <v>43.3</v>
          </cell>
          <cell r="R18">
            <v>53.7</v>
          </cell>
          <cell r="S18">
            <v>87.6</v>
          </cell>
          <cell r="T18">
            <v>108.8</v>
          </cell>
          <cell r="U18">
            <v>43.3</v>
          </cell>
          <cell r="V18">
            <v>53.7</v>
          </cell>
          <cell r="W18">
            <v>53.7</v>
          </cell>
        </row>
        <row r="19">
          <cell r="A19" t="str">
            <v>Lebanon-Lancaster</v>
          </cell>
          <cell r="B19">
            <v>20034</v>
          </cell>
          <cell r="C19" t="str">
            <v>Monday</v>
          </cell>
          <cell r="D19">
            <v>0</v>
          </cell>
          <cell r="E19" t="str">
            <v>Sunday</v>
          </cell>
          <cell r="F19">
            <v>0.999988425925926</v>
          </cell>
          <cell r="G19">
            <v>30.7</v>
          </cell>
          <cell r="H19">
            <v>45.5</v>
          </cell>
          <cell r="I19">
            <v>57</v>
          </cell>
          <cell r="J19">
            <v>-1</v>
          </cell>
          <cell r="K19">
            <v>-1</v>
          </cell>
          <cell r="L19">
            <v>-1</v>
          </cell>
          <cell r="M19">
            <v>62.5</v>
          </cell>
          <cell r="N19">
            <v>92.1</v>
          </cell>
          <cell r="O19">
            <v>115.1</v>
          </cell>
          <cell r="P19">
            <v>30.7</v>
          </cell>
          <cell r="Q19">
            <v>45.5</v>
          </cell>
          <cell r="R19">
            <v>57</v>
          </cell>
          <cell r="S19">
            <v>92.1</v>
          </cell>
          <cell r="T19">
            <v>115.1</v>
          </cell>
          <cell r="U19">
            <v>45.5</v>
          </cell>
          <cell r="V19">
            <v>57</v>
          </cell>
          <cell r="W19">
            <v>57</v>
          </cell>
        </row>
        <row r="20">
          <cell r="A20" t="str">
            <v>Reading</v>
          </cell>
          <cell r="B20">
            <v>20036</v>
          </cell>
          <cell r="C20" t="str">
            <v>Monday</v>
          </cell>
          <cell r="D20">
            <v>0</v>
          </cell>
          <cell r="E20" t="str">
            <v>Sunday</v>
          </cell>
          <cell r="F20">
            <v>0.999988425925926</v>
          </cell>
          <cell r="G20">
            <v>33.8</v>
          </cell>
          <cell r="H20">
            <v>50.1</v>
          </cell>
          <cell r="I20">
            <v>61.4</v>
          </cell>
          <cell r="J20">
            <v>-1</v>
          </cell>
          <cell r="K20">
            <v>-1</v>
          </cell>
          <cell r="L20">
            <v>-1</v>
          </cell>
          <cell r="M20">
            <v>67.9</v>
          </cell>
          <cell r="N20">
            <v>101.3</v>
          </cell>
          <cell r="O20">
            <v>124.4</v>
          </cell>
          <cell r="P20">
            <v>33.8</v>
          </cell>
          <cell r="Q20">
            <v>50.1</v>
          </cell>
          <cell r="R20">
            <v>61.4</v>
          </cell>
          <cell r="S20">
            <v>101.3</v>
          </cell>
          <cell r="T20">
            <v>124.4</v>
          </cell>
          <cell r="U20">
            <v>50.1</v>
          </cell>
          <cell r="V20">
            <v>61.4</v>
          </cell>
          <cell r="W20">
            <v>61.4</v>
          </cell>
        </row>
        <row r="21">
          <cell r="A21" t="str">
            <v>Morgantown</v>
          </cell>
          <cell r="B21">
            <v>20038</v>
          </cell>
          <cell r="C21" t="str">
            <v>Monday</v>
          </cell>
          <cell r="D21">
            <v>0</v>
          </cell>
          <cell r="E21" t="str">
            <v>Sunday</v>
          </cell>
          <cell r="F21">
            <v>0.999988425925926</v>
          </cell>
          <cell r="G21">
            <v>34.7</v>
          </cell>
          <cell r="H21">
            <v>52.3</v>
          </cell>
          <cell r="I21">
            <v>63.6</v>
          </cell>
          <cell r="J21">
            <v>-1</v>
          </cell>
          <cell r="K21">
            <v>-1</v>
          </cell>
          <cell r="L21">
            <v>-1</v>
          </cell>
          <cell r="M21">
            <v>70.8</v>
          </cell>
          <cell r="N21">
            <v>106.1</v>
          </cell>
          <cell r="O21">
            <v>128.6</v>
          </cell>
          <cell r="P21">
            <v>34.7</v>
          </cell>
          <cell r="Q21">
            <v>52.3</v>
          </cell>
          <cell r="R21">
            <v>63.6</v>
          </cell>
          <cell r="S21">
            <v>106.1</v>
          </cell>
          <cell r="T21">
            <v>128.6</v>
          </cell>
          <cell r="U21">
            <v>52.3</v>
          </cell>
          <cell r="V21">
            <v>63.6</v>
          </cell>
          <cell r="W21">
            <v>63.6</v>
          </cell>
        </row>
        <row r="22">
          <cell r="A22" t="str">
            <v>Downingtown</v>
          </cell>
          <cell r="B22">
            <v>20040</v>
          </cell>
          <cell r="C22" t="str">
            <v>Monday</v>
          </cell>
          <cell r="D22">
            <v>0</v>
          </cell>
          <cell r="E22" t="str">
            <v>Sunday</v>
          </cell>
          <cell r="F22">
            <v>0.999988425925926</v>
          </cell>
          <cell r="G22">
            <v>36.5</v>
          </cell>
          <cell r="H22">
            <v>54.6</v>
          </cell>
          <cell r="I22">
            <v>65.9</v>
          </cell>
          <cell r="J22">
            <v>-1</v>
          </cell>
          <cell r="K22">
            <v>-1</v>
          </cell>
          <cell r="L22">
            <v>-1</v>
          </cell>
          <cell r="M22">
            <v>73.9</v>
          </cell>
          <cell r="N22">
            <v>110.3</v>
          </cell>
          <cell r="O22">
            <v>133.4</v>
          </cell>
          <cell r="P22">
            <v>36.5</v>
          </cell>
          <cell r="Q22">
            <v>54.6</v>
          </cell>
          <cell r="R22">
            <v>65.9</v>
          </cell>
          <cell r="S22">
            <v>110.3</v>
          </cell>
          <cell r="T22">
            <v>133.4</v>
          </cell>
          <cell r="U22">
            <v>54.6</v>
          </cell>
          <cell r="V22">
            <v>65.9</v>
          </cell>
          <cell r="W22">
            <v>65.9</v>
          </cell>
        </row>
        <row r="23">
          <cell r="A23" t="str">
            <v>S.R. 29</v>
          </cell>
          <cell r="B23">
            <v>20042</v>
          </cell>
          <cell r="C23" t="str">
            <v>Monday</v>
          </cell>
          <cell r="D23">
            <v>0</v>
          </cell>
          <cell r="E23" t="str">
            <v>Sunday</v>
          </cell>
          <cell r="F23">
            <v>0.999988425925926</v>
          </cell>
          <cell r="G23">
            <v>38</v>
          </cell>
          <cell r="H23">
            <v>57.2</v>
          </cell>
          <cell r="I23">
            <v>68.7</v>
          </cell>
          <cell r="J23">
            <v>-1</v>
          </cell>
          <cell r="K23">
            <v>-1</v>
          </cell>
          <cell r="L23">
            <v>-1</v>
          </cell>
          <cell r="M23">
            <v>76.6</v>
          </cell>
          <cell r="N23">
            <v>115.5</v>
          </cell>
          <cell r="O23">
            <v>138.8</v>
          </cell>
          <cell r="P23">
            <v>38</v>
          </cell>
          <cell r="Q23">
            <v>57.2</v>
          </cell>
          <cell r="R23">
            <v>68.7</v>
          </cell>
          <cell r="S23">
            <v>115.5</v>
          </cell>
          <cell r="T23">
            <v>138.8</v>
          </cell>
          <cell r="U23">
            <v>57.2</v>
          </cell>
          <cell r="V23">
            <v>68.7</v>
          </cell>
          <cell r="W23">
            <v>68.7</v>
          </cell>
        </row>
        <row r="24">
          <cell r="A24" t="str">
            <v>Valley Forge</v>
          </cell>
          <cell r="B24">
            <v>20044</v>
          </cell>
          <cell r="C24" t="str">
            <v>Monday</v>
          </cell>
          <cell r="D24">
            <v>0</v>
          </cell>
          <cell r="E24" t="str">
            <v>Sunday</v>
          </cell>
          <cell r="F24">
            <v>0.999988425925926</v>
          </cell>
          <cell r="G24">
            <v>38.7</v>
          </cell>
          <cell r="H24">
            <v>59.2</v>
          </cell>
          <cell r="I24">
            <v>70.4</v>
          </cell>
          <cell r="J24">
            <v>-1</v>
          </cell>
          <cell r="K24">
            <v>-1</v>
          </cell>
          <cell r="L24">
            <v>-1</v>
          </cell>
          <cell r="M24">
            <v>78.6</v>
          </cell>
          <cell r="N24">
            <v>119.4</v>
          </cell>
          <cell r="O24">
            <v>142.5</v>
          </cell>
          <cell r="P24">
            <v>38.7</v>
          </cell>
          <cell r="Q24">
            <v>59.2</v>
          </cell>
          <cell r="R24">
            <v>70.4</v>
          </cell>
          <cell r="S24">
            <v>119.4</v>
          </cell>
          <cell r="T24">
            <v>142.5</v>
          </cell>
          <cell r="U24">
            <v>59.2</v>
          </cell>
          <cell r="V24">
            <v>70.4</v>
          </cell>
          <cell r="W24">
            <v>70.4</v>
          </cell>
        </row>
        <row r="25">
          <cell r="A25" t="str">
            <v>Norristown</v>
          </cell>
          <cell r="B25">
            <v>20046</v>
          </cell>
          <cell r="C25" t="str">
            <v>Monday</v>
          </cell>
          <cell r="D25">
            <v>0</v>
          </cell>
          <cell r="E25" t="str">
            <v>Sunday</v>
          </cell>
          <cell r="F25">
            <v>0.999988425925926</v>
          </cell>
          <cell r="G25">
            <v>40.1</v>
          </cell>
          <cell r="H25">
            <v>59.2</v>
          </cell>
          <cell r="I25">
            <v>72.8</v>
          </cell>
          <cell r="J25">
            <v>-1</v>
          </cell>
          <cell r="K25">
            <v>-1</v>
          </cell>
          <cell r="L25">
            <v>-1</v>
          </cell>
          <cell r="M25">
            <v>80.8</v>
          </cell>
          <cell r="N25">
            <v>119.4</v>
          </cell>
          <cell r="O25">
            <v>146.8</v>
          </cell>
          <cell r="P25">
            <v>40.1</v>
          </cell>
          <cell r="Q25">
            <v>59.2</v>
          </cell>
          <cell r="R25">
            <v>72.8</v>
          </cell>
          <cell r="S25">
            <v>119.4</v>
          </cell>
          <cell r="T25">
            <v>146.8</v>
          </cell>
          <cell r="U25">
            <v>59.2</v>
          </cell>
          <cell r="V25">
            <v>72.8</v>
          </cell>
          <cell r="W25">
            <v>72.8</v>
          </cell>
        </row>
        <row r="26">
          <cell r="A26" t="str">
            <v>Fort Washington</v>
          </cell>
          <cell r="B26">
            <v>20048</v>
          </cell>
          <cell r="C26" t="str">
            <v>Monday</v>
          </cell>
          <cell r="D26">
            <v>0</v>
          </cell>
          <cell r="E26" t="str">
            <v>Sunday</v>
          </cell>
          <cell r="F26">
            <v>0.999988425925926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</row>
        <row r="27">
          <cell r="A27" t="str">
            <v>Virginia Drive </v>
          </cell>
          <cell r="B27">
            <v>20050</v>
          </cell>
          <cell r="C27" t="str">
            <v>Monday</v>
          </cell>
          <cell r="D27">
            <v>0</v>
          </cell>
          <cell r="E27" t="str">
            <v>Sunday</v>
          </cell>
          <cell r="F27">
            <v>0.999988425925926</v>
          </cell>
          <cell r="G27">
            <v>41.3</v>
          </cell>
          <cell r="H27">
            <v>61.4</v>
          </cell>
          <cell r="I27">
            <v>75</v>
          </cell>
          <cell r="J27">
            <v>-1</v>
          </cell>
          <cell r="K27">
            <v>-1</v>
          </cell>
          <cell r="L27">
            <v>-1</v>
          </cell>
          <cell r="M27">
            <v>83.5</v>
          </cell>
          <cell r="N27">
            <v>124.4</v>
          </cell>
          <cell r="O27">
            <v>151.5</v>
          </cell>
          <cell r="P27">
            <v>41.3</v>
          </cell>
          <cell r="Q27">
            <v>61.4</v>
          </cell>
          <cell r="R27">
            <v>75</v>
          </cell>
          <cell r="S27">
            <v>124.4</v>
          </cell>
          <cell r="T27">
            <v>151.5</v>
          </cell>
          <cell r="U27">
            <v>61.4</v>
          </cell>
          <cell r="V27">
            <v>75</v>
          </cell>
          <cell r="W27">
            <v>75</v>
          </cell>
        </row>
        <row r="28">
          <cell r="A28" t="str">
            <v>Willow Grove</v>
          </cell>
          <cell r="B28">
            <v>20052</v>
          </cell>
          <cell r="C28" t="str">
            <v>Monday</v>
          </cell>
          <cell r="D28">
            <v>0</v>
          </cell>
          <cell r="E28" t="str">
            <v>Sunday</v>
          </cell>
          <cell r="F28">
            <v>0.999988425925926</v>
          </cell>
          <cell r="G28">
            <v>42.3</v>
          </cell>
          <cell r="H28">
            <v>61.4</v>
          </cell>
          <cell r="I28">
            <v>75</v>
          </cell>
          <cell r="J28">
            <v>-1</v>
          </cell>
          <cell r="K28">
            <v>-1</v>
          </cell>
          <cell r="L28">
            <v>-1</v>
          </cell>
          <cell r="M28">
            <v>85.4</v>
          </cell>
          <cell r="N28">
            <v>124.4</v>
          </cell>
          <cell r="O28">
            <v>151.5</v>
          </cell>
          <cell r="P28">
            <v>42.3</v>
          </cell>
          <cell r="Q28">
            <v>61.4</v>
          </cell>
          <cell r="R28">
            <v>75</v>
          </cell>
          <cell r="S28">
            <v>124.4</v>
          </cell>
          <cell r="T28">
            <v>151.5</v>
          </cell>
          <cell r="U28">
            <v>61.4</v>
          </cell>
          <cell r="V28">
            <v>75</v>
          </cell>
          <cell r="W28">
            <v>75</v>
          </cell>
        </row>
        <row r="29">
          <cell r="A29" t="str">
            <v>Bensalem</v>
          </cell>
          <cell r="B29">
            <v>20054</v>
          </cell>
          <cell r="C29" t="str">
            <v>Monday</v>
          </cell>
          <cell r="D29">
            <v>0</v>
          </cell>
          <cell r="E29" t="str">
            <v>Sunday</v>
          </cell>
          <cell r="F29">
            <v>0.999988425925926</v>
          </cell>
          <cell r="G29">
            <v>43.3</v>
          </cell>
          <cell r="H29">
            <v>63.6</v>
          </cell>
          <cell r="I29">
            <v>77.2</v>
          </cell>
          <cell r="J29">
            <v>-1</v>
          </cell>
          <cell r="K29">
            <v>-1</v>
          </cell>
          <cell r="L29">
            <v>-1</v>
          </cell>
          <cell r="M29">
            <v>87.6</v>
          </cell>
          <cell r="N29">
            <v>128.6</v>
          </cell>
          <cell r="O29">
            <v>156.4</v>
          </cell>
          <cell r="P29">
            <v>43.3</v>
          </cell>
          <cell r="Q29">
            <v>63.6</v>
          </cell>
          <cell r="R29">
            <v>77.2</v>
          </cell>
          <cell r="S29">
            <v>128.6</v>
          </cell>
          <cell r="T29">
            <v>156.4</v>
          </cell>
          <cell r="U29">
            <v>63.6</v>
          </cell>
          <cell r="V29">
            <v>77.2</v>
          </cell>
          <cell r="W29">
            <v>77.2</v>
          </cell>
        </row>
        <row r="30">
          <cell r="A30" t="str">
            <v>St. Rd </v>
          </cell>
          <cell r="B30">
            <v>20058</v>
          </cell>
          <cell r="C30" t="str">
            <v>Monday</v>
          </cell>
          <cell r="D30">
            <v>0</v>
          </cell>
          <cell r="E30" t="str">
            <v>Sunday</v>
          </cell>
          <cell r="F30">
            <v>0.999988425925926</v>
          </cell>
          <cell r="G30">
            <v>-1</v>
          </cell>
          <cell r="H30">
            <v>-1</v>
          </cell>
          <cell r="I30">
            <v>-1</v>
          </cell>
          <cell r="J30">
            <v>-1</v>
          </cell>
          <cell r="K30">
            <v>-1</v>
          </cell>
          <cell r="L30">
            <v>-1</v>
          </cell>
          <cell r="M30">
            <v>-1</v>
          </cell>
          <cell r="N30">
            <v>-1</v>
          </cell>
          <cell r="O30">
            <v>-1</v>
          </cell>
          <cell r="P30">
            <v>-1</v>
          </cell>
          <cell r="Q30">
            <v>-1</v>
          </cell>
          <cell r="R30">
            <v>-1</v>
          </cell>
          <cell r="S30">
            <v>-1</v>
          </cell>
          <cell r="T30">
            <v>-1</v>
          </cell>
          <cell r="U30">
            <v>-1</v>
          </cell>
          <cell r="V30">
            <v>-1</v>
          </cell>
          <cell r="W30">
            <v>-1</v>
          </cell>
        </row>
        <row r="31">
          <cell r="A31" t="str">
            <v>Neshaminy Falls</v>
          </cell>
          <cell r="B31">
            <v>20060</v>
          </cell>
          <cell r="C31" t="str">
            <v>Monday</v>
          </cell>
          <cell r="D31">
            <v>0</v>
          </cell>
          <cell r="E31" t="str">
            <v>Sunday</v>
          </cell>
          <cell r="F31">
            <v>0.999988425925926</v>
          </cell>
          <cell r="G31">
            <v>45</v>
          </cell>
          <cell r="H31">
            <v>65.9</v>
          </cell>
          <cell r="I31">
            <v>79.4</v>
          </cell>
          <cell r="J31">
            <v>-1</v>
          </cell>
          <cell r="K31">
            <v>-1</v>
          </cell>
          <cell r="L31">
            <v>-1</v>
          </cell>
          <cell r="M31">
            <v>90.9</v>
          </cell>
          <cell r="N31">
            <v>133.4</v>
          </cell>
          <cell r="O31">
            <v>160.9</v>
          </cell>
          <cell r="P31">
            <v>45</v>
          </cell>
          <cell r="Q31">
            <v>65.9</v>
          </cell>
          <cell r="R31">
            <v>79.4</v>
          </cell>
          <cell r="S31">
            <v>133.4</v>
          </cell>
          <cell r="T31">
            <v>160.9</v>
          </cell>
          <cell r="U31">
            <v>65.9</v>
          </cell>
          <cell r="V31">
            <v>79.4</v>
          </cell>
          <cell r="W31">
            <v>79.4</v>
          </cell>
        </row>
        <row r="32">
          <cell r="A32" t="str">
            <v>Mid-County</v>
          </cell>
          <cell r="B32">
            <v>21000</v>
          </cell>
          <cell r="C32" t="str">
            <v>Monday</v>
          </cell>
          <cell r="D32">
            <v>0</v>
          </cell>
          <cell r="E32" t="str">
            <v>Sunday</v>
          </cell>
          <cell r="F32">
            <v>0.999988425925926</v>
          </cell>
          <cell r="G32">
            <v>-1</v>
          </cell>
          <cell r="H32">
            <v>-1</v>
          </cell>
          <cell r="I32">
            <v>-1</v>
          </cell>
          <cell r="J32">
            <v>-1</v>
          </cell>
          <cell r="K32">
            <v>-1</v>
          </cell>
          <cell r="L32">
            <v>-1</v>
          </cell>
          <cell r="M32">
            <v>-1</v>
          </cell>
          <cell r="N32">
            <v>-1</v>
          </cell>
          <cell r="O32">
            <v>-1</v>
          </cell>
          <cell r="P32">
            <v>-1</v>
          </cell>
          <cell r="Q32">
            <v>-1</v>
          </cell>
          <cell r="R32">
            <v>-1</v>
          </cell>
          <cell r="S32">
            <v>-1</v>
          </cell>
          <cell r="T32">
            <v>-1</v>
          </cell>
          <cell r="U32">
            <v>-1</v>
          </cell>
          <cell r="V32">
            <v>-1</v>
          </cell>
          <cell r="W32">
            <v>-1</v>
          </cell>
        </row>
        <row r="33">
          <cell r="A33" t="str">
            <v>Lansdale</v>
          </cell>
          <cell r="B33">
            <v>21002</v>
          </cell>
          <cell r="C33" t="str">
            <v>Monday</v>
          </cell>
          <cell r="D33">
            <v>0</v>
          </cell>
          <cell r="E33" t="str">
            <v>Sunday</v>
          </cell>
          <cell r="F33">
            <v>0.999988425925926</v>
          </cell>
          <cell r="G33">
            <v>41.5</v>
          </cell>
          <cell r="H33">
            <v>61.4</v>
          </cell>
          <cell r="I33">
            <v>75</v>
          </cell>
          <cell r="J33">
            <v>-1</v>
          </cell>
          <cell r="K33">
            <v>-1</v>
          </cell>
          <cell r="L33">
            <v>-1</v>
          </cell>
          <cell r="M33">
            <v>84.6</v>
          </cell>
          <cell r="N33">
            <v>124.4</v>
          </cell>
          <cell r="O33">
            <v>151.5</v>
          </cell>
          <cell r="P33">
            <v>41.5</v>
          </cell>
          <cell r="Q33">
            <v>61.4</v>
          </cell>
          <cell r="R33">
            <v>75</v>
          </cell>
          <cell r="S33">
            <v>124.4</v>
          </cell>
          <cell r="T33">
            <v>151.5</v>
          </cell>
          <cell r="U33">
            <v>61.4</v>
          </cell>
          <cell r="V33">
            <v>75</v>
          </cell>
          <cell r="W33">
            <v>75</v>
          </cell>
        </row>
        <row r="34">
          <cell r="A34" t="str">
            <v>Quakertown</v>
          </cell>
          <cell r="B34">
            <v>21004</v>
          </cell>
          <cell r="C34" t="str">
            <v>Monday</v>
          </cell>
          <cell r="D34">
            <v>0</v>
          </cell>
          <cell r="E34" t="str">
            <v>Sunday</v>
          </cell>
          <cell r="F34">
            <v>0.999988425925926</v>
          </cell>
          <cell r="G34">
            <v>43.3</v>
          </cell>
          <cell r="H34">
            <v>63.6</v>
          </cell>
          <cell r="I34">
            <v>79.4</v>
          </cell>
          <cell r="J34">
            <v>-1</v>
          </cell>
          <cell r="K34">
            <v>-1</v>
          </cell>
          <cell r="L34">
            <v>-1</v>
          </cell>
          <cell r="M34">
            <v>87.6</v>
          </cell>
          <cell r="N34">
            <v>128.6</v>
          </cell>
          <cell r="O34">
            <v>160.9</v>
          </cell>
          <cell r="P34">
            <v>43.3</v>
          </cell>
          <cell r="Q34">
            <v>63.6</v>
          </cell>
          <cell r="R34">
            <v>79.4</v>
          </cell>
          <cell r="S34">
            <v>128.6</v>
          </cell>
          <cell r="T34">
            <v>160.9</v>
          </cell>
          <cell r="U34">
            <v>63.6</v>
          </cell>
          <cell r="V34">
            <v>79.4</v>
          </cell>
          <cell r="W34">
            <v>79.4</v>
          </cell>
        </row>
        <row r="35">
          <cell r="A35" t="str">
            <v>Lehigh Valley</v>
          </cell>
          <cell r="B35">
            <v>21006</v>
          </cell>
          <cell r="C35" t="str">
            <v>Monday</v>
          </cell>
          <cell r="D35">
            <v>0</v>
          </cell>
          <cell r="E35" t="str">
            <v>Sunday</v>
          </cell>
          <cell r="F35">
            <v>0.999988425925926</v>
          </cell>
          <cell r="G35">
            <v>44.5</v>
          </cell>
          <cell r="H35">
            <v>65.9</v>
          </cell>
          <cell r="I35">
            <v>81.8</v>
          </cell>
          <cell r="J35">
            <v>-1</v>
          </cell>
          <cell r="K35">
            <v>-1</v>
          </cell>
          <cell r="L35">
            <v>-1</v>
          </cell>
          <cell r="M35">
            <v>89.9</v>
          </cell>
          <cell r="N35">
            <v>133.4</v>
          </cell>
          <cell r="O35">
            <v>165.3</v>
          </cell>
          <cell r="P35">
            <v>44.5</v>
          </cell>
          <cell r="Q35">
            <v>65.9</v>
          </cell>
          <cell r="R35">
            <v>81.8</v>
          </cell>
          <cell r="S35">
            <v>133.4</v>
          </cell>
          <cell r="T35">
            <v>165.3</v>
          </cell>
          <cell r="U35">
            <v>65.9</v>
          </cell>
          <cell r="V35">
            <v>81.8</v>
          </cell>
          <cell r="W35">
            <v>81.8</v>
          </cell>
        </row>
        <row r="36">
          <cell r="A36" t="str">
            <v>Mahoning Valley</v>
          </cell>
          <cell r="B36">
            <v>21008</v>
          </cell>
          <cell r="C36" t="str">
            <v>Monday</v>
          </cell>
          <cell r="D36">
            <v>0</v>
          </cell>
          <cell r="E36" t="str">
            <v>Sunday</v>
          </cell>
          <cell r="F36">
            <v>0.999988425925926</v>
          </cell>
          <cell r="G36">
            <v>47.3</v>
          </cell>
          <cell r="H36">
            <v>70.4</v>
          </cell>
          <cell r="I36">
            <v>86.4</v>
          </cell>
          <cell r="J36">
            <v>-1</v>
          </cell>
          <cell r="K36">
            <v>-1</v>
          </cell>
          <cell r="L36">
            <v>-1</v>
          </cell>
          <cell r="M36">
            <v>95.6</v>
          </cell>
          <cell r="N36">
            <v>142.5</v>
          </cell>
          <cell r="O36">
            <v>174.2</v>
          </cell>
          <cell r="P36">
            <v>47.3</v>
          </cell>
          <cell r="Q36">
            <v>70.4</v>
          </cell>
          <cell r="R36">
            <v>86.4</v>
          </cell>
          <cell r="S36">
            <v>142.5</v>
          </cell>
          <cell r="T36">
            <v>174.2</v>
          </cell>
          <cell r="U36">
            <v>70.4</v>
          </cell>
          <cell r="V36">
            <v>86.4</v>
          </cell>
          <cell r="W36">
            <v>86.4</v>
          </cell>
        </row>
        <row r="37">
          <cell r="A37" t="str">
            <v>S.R. 903</v>
          </cell>
          <cell r="B37">
            <v>21010</v>
          </cell>
          <cell r="C37" t="str">
            <v>Monday</v>
          </cell>
          <cell r="D37">
            <v>0</v>
          </cell>
          <cell r="E37" t="str">
            <v>Sunday</v>
          </cell>
          <cell r="F37">
            <v>0.999988425925926</v>
          </cell>
          <cell r="G37">
            <v>48.3</v>
          </cell>
          <cell r="H37">
            <v>72</v>
          </cell>
          <cell r="I37">
            <v>89</v>
          </cell>
          <cell r="J37">
            <v>-1</v>
          </cell>
          <cell r="K37">
            <v>-1</v>
          </cell>
          <cell r="L37">
            <v>-1</v>
          </cell>
          <cell r="M37">
            <v>97.9</v>
          </cell>
          <cell r="N37">
            <v>145.5</v>
          </cell>
          <cell r="O37">
            <v>179.8</v>
          </cell>
          <cell r="P37">
            <v>48.3</v>
          </cell>
          <cell r="Q37">
            <v>72</v>
          </cell>
          <cell r="R37">
            <v>89</v>
          </cell>
          <cell r="S37">
            <v>145.5</v>
          </cell>
          <cell r="T37">
            <v>179.8</v>
          </cell>
          <cell r="U37">
            <v>72</v>
          </cell>
          <cell r="V37">
            <v>89</v>
          </cell>
          <cell r="W37">
            <v>89</v>
          </cell>
        </row>
        <row r="38">
          <cell r="A38" t="str">
            <v>Pocono</v>
          </cell>
          <cell r="B38">
            <v>21012</v>
          </cell>
          <cell r="C38" t="str">
            <v>Monday</v>
          </cell>
          <cell r="D38">
            <v>0</v>
          </cell>
          <cell r="E38" t="str">
            <v>Sunday</v>
          </cell>
          <cell r="F38">
            <v>0.999988425925926</v>
          </cell>
          <cell r="G38">
            <v>49.1</v>
          </cell>
          <cell r="H38">
            <v>72.8</v>
          </cell>
          <cell r="I38">
            <v>90.9</v>
          </cell>
          <cell r="J38">
            <v>-1</v>
          </cell>
          <cell r="K38">
            <v>-1</v>
          </cell>
          <cell r="L38">
            <v>-1</v>
          </cell>
          <cell r="M38">
            <v>99.5</v>
          </cell>
          <cell r="N38">
            <v>146.8</v>
          </cell>
          <cell r="O38">
            <v>183.5</v>
          </cell>
          <cell r="P38">
            <v>49.1</v>
          </cell>
          <cell r="Q38">
            <v>72.8</v>
          </cell>
          <cell r="R38">
            <v>90.9</v>
          </cell>
          <cell r="S38">
            <v>146.8</v>
          </cell>
          <cell r="T38">
            <v>183.5</v>
          </cell>
          <cell r="U38">
            <v>72.8</v>
          </cell>
          <cell r="V38">
            <v>90.9</v>
          </cell>
          <cell r="W38">
            <v>90.9</v>
          </cell>
        </row>
        <row r="39">
          <cell r="A39" t="str">
            <v>Wilkes-Barre</v>
          </cell>
          <cell r="B39">
            <v>21014</v>
          </cell>
          <cell r="C39" t="str">
            <v>Monday</v>
          </cell>
          <cell r="D39">
            <v>0</v>
          </cell>
          <cell r="E39" t="str">
            <v>Sunday</v>
          </cell>
          <cell r="F39">
            <v>0.999988425925926</v>
          </cell>
          <cell r="G39">
            <v>50.6</v>
          </cell>
          <cell r="H39">
            <v>75</v>
          </cell>
          <cell r="I39">
            <v>93.1</v>
          </cell>
          <cell r="J39">
            <v>-1</v>
          </cell>
          <cell r="K39">
            <v>-1</v>
          </cell>
          <cell r="L39">
            <v>-1</v>
          </cell>
          <cell r="M39">
            <v>102.6</v>
          </cell>
          <cell r="N39">
            <v>151.5</v>
          </cell>
          <cell r="O39">
            <v>188.1</v>
          </cell>
          <cell r="P39">
            <v>50.6</v>
          </cell>
          <cell r="Q39">
            <v>75</v>
          </cell>
          <cell r="R39">
            <v>93.1</v>
          </cell>
          <cell r="S39">
            <v>151.5</v>
          </cell>
          <cell r="T39">
            <v>188.1</v>
          </cell>
          <cell r="U39">
            <v>75</v>
          </cell>
          <cell r="V39">
            <v>93.1</v>
          </cell>
          <cell r="W39">
            <v>93.1</v>
          </cell>
        </row>
        <row r="40">
          <cell r="A40" t="str">
            <v>Wyoming Valley</v>
          </cell>
          <cell r="B40">
            <v>21016</v>
          </cell>
          <cell r="C40" t="str">
            <v>Monday</v>
          </cell>
          <cell r="D40">
            <v>0</v>
          </cell>
          <cell r="E40" t="str">
            <v>Sunday</v>
          </cell>
          <cell r="F40">
            <v>0.999988425925926</v>
          </cell>
          <cell r="G40">
            <v>51.8</v>
          </cell>
          <cell r="H40">
            <v>77.2</v>
          </cell>
          <cell r="I40">
            <v>93.1</v>
          </cell>
          <cell r="J40">
            <v>-1</v>
          </cell>
          <cell r="K40">
            <v>-1</v>
          </cell>
          <cell r="L40">
            <v>-1</v>
          </cell>
          <cell r="M40">
            <v>104.5</v>
          </cell>
          <cell r="N40">
            <v>156.4</v>
          </cell>
          <cell r="O40">
            <v>188.1</v>
          </cell>
          <cell r="P40">
            <v>51.8</v>
          </cell>
          <cell r="Q40">
            <v>77.2</v>
          </cell>
          <cell r="R40">
            <v>93.1</v>
          </cell>
          <cell r="S40">
            <v>156.4</v>
          </cell>
          <cell r="T40">
            <v>188.1</v>
          </cell>
          <cell r="U40">
            <v>77.2</v>
          </cell>
          <cell r="V40">
            <v>93.1</v>
          </cell>
          <cell r="W40">
            <v>93.1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75585192419"/>
  </sheetPr>
  <dimension ref="A1:C15"/>
  <sheetViews>
    <sheetView workbookViewId="0">
      <selection activeCell="A1" sqref="A1"/>
    </sheetView>
  </sheetViews>
  <sheetFormatPr defaultColWidth="11" defaultRowHeight="13.8" outlineLevelCol="2"/>
  <cols>
    <col min="1" max="1" width="70.7962962962963" style="1" customWidth="1"/>
    <col min="2" max="16384" width="11" style="1"/>
  </cols>
  <sheetData>
    <row r="1" ht="18" spans="1:1">
      <c r="A1" s="48" t="s">
        <v>0</v>
      </c>
    </row>
    <row r="2" spans="1:1">
      <c r="A2" s="1" t="s">
        <v>1</v>
      </c>
    </row>
    <row r="3" spans="1:1">
      <c r="A3" s="1" t="s">
        <v>2</v>
      </c>
    </row>
    <row r="4" ht="14.4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49" t="s">
        <v>6</v>
      </c>
      <c r="B9" s="10" t="s">
        <v>7</v>
      </c>
    </row>
    <row r="10" spans="1:2">
      <c r="A10" s="50" t="s">
        <v>8</v>
      </c>
      <c r="B10" s="51">
        <v>25</v>
      </c>
    </row>
    <row r="11" spans="1:2">
      <c r="A11" s="50" t="s">
        <v>9</v>
      </c>
      <c r="B11" s="51">
        <v>30</v>
      </c>
    </row>
    <row r="12" spans="1:2">
      <c r="A12" s="50" t="s">
        <v>10</v>
      </c>
      <c r="B12" s="51">
        <v>10</v>
      </c>
    </row>
    <row r="13" spans="1:2">
      <c r="A13" s="50" t="s">
        <v>11</v>
      </c>
      <c r="B13" s="51">
        <v>20</v>
      </c>
    </row>
    <row r="14" spans="1:2">
      <c r="A14" s="50" t="s">
        <v>12</v>
      </c>
      <c r="B14" s="51">
        <v>40</v>
      </c>
    </row>
    <row r="15" spans="1:2">
      <c r="A15" s="52" t="s">
        <v>13</v>
      </c>
      <c r="B15" s="11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0"/>
  <sheetViews>
    <sheetView zoomScale="115" zoomScaleNormal="115" topLeftCell="U25" workbookViewId="0">
      <selection activeCell="A2" sqref="A2:AA40"/>
    </sheetView>
  </sheetViews>
  <sheetFormatPr defaultColWidth="9" defaultRowHeight="14.4"/>
  <cols>
    <col min="1" max="1" width="25.3981481481481" style="4" customWidth="1"/>
    <col min="2" max="2" width="7.39814814814815" style="4" customWidth="1"/>
    <col min="3" max="3" width="9.7962962962963" style="4" customWidth="1"/>
    <col min="4" max="4" width="11" style="42" customWidth="1"/>
    <col min="5" max="5" width="9.2037037037037" style="4" customWidth="1"/>
    <col min="6" max="6" width="10.3981481481481" style="42" customWidth="1"/>
    <col min="7" max="9" width="12.7962962962963" style="4" customWidth="1"/>
    <col min="10" max="12" width="13" style="4" customWidth="1"/>
    <col min="13" max="15" width="14.2037037037037" style="4" customWidth="1"/>
    <col min="16" max="18" width="14.3981481481481" style="4" customWidth="1"/>
    <col min="19" max="20" width="18.7962962962963" style="4" customWidth="1"/>
    <col min="21" max="23" width="19" style="4" customWidth="1"/>
    <col min="24" max="24" width="12.6018518518519" style="4" customWidth="1"/>
    <col min="25" max="16384" width="9" style="4"/>
  </cols>
  <sheetData>
    <row r="1" s="8" customFormat="1" ht="14.75" customHeight="1" spans="1:24">
      <c r="A1" s="43" t="s">
        <v>14</v>
      </c>
      <c r="B1" s="43" t="s">
        <v>15</v>
      </c>
      <c r="C1" s="43" t="s">
        <v>16</v>
      </c>
      <c r="D1" s="44" t="s">
        <v>17</v>
      </c>
      <c r="E1" s="43" t="s">
        <v>18</v>
      </c>
      <c r="F1" s="44" t="s">
        <v>19</v>
      </c>
      <c r="G1" s="45" t="s">
        <v>20</v>
      </c>
      <c r="H1" s="45" t="s">
        <v>21</v>
      </c>
      <c r="I1" s="45" t="s">
        <v>22</v>
      </c>
      <c r="J1" s="46" t="s">
        <v>23</v>
      </c>
      <c r="K1" s="46" t="s">
        <v>24</v>
      </c>
      <c r="L1" s="46" t="s">
        <v>25</v>
      </c>
      <c r="M1" s="45" t="s">
        <v>26</v>
      </c>
      <c r="N1" s="45" t="s">
        <v>27</v>
      </c>
      <c r="O1" s="45" t="s">
        <v>28</v>
      </c>
      <c r="P1" s="46" t="s">
        <v>29</v>
      </c>
      <c r="Q1" s="46" t="s">
        <v>30</v>
      </c>
      <c r="R1" s="46" t="s">
        <v>31</v>
      </c>
      <c r="S1" s="45" t="s">
        <v>32</v>
      </c>
      <c r="T1" s="45" t="s">
        <v>33</v>
      </c>
      <c r="U1" s="46" t="s">
        <v>34</v>
      </c>
      <c r="V1" s="46" t="s">
        <v>35</v>
      </c>
      <c r="W1" s="46" t="s">
        <v>36</v>
      </c>
      <c r="X1" s="8" t="s">
        <v>37</v>
      </c>
    </row>
    <row r="2" spans="1:24">
      <c r="A2" s="4" t="s">
        <v>38</v>
      </c>
      <c r="B2" s="4">
        <v>20000</v>
      </c>
      <c r="C2" s="4" t="s">
        <v>39</v>
      </c>
      <c r="D2" s="42">
        <v>0</v>
      </c>
      <c r="E2" s="4" t="s">
        <v>40</v>
      </c>
      <c r="F2" s="42">
        <v>0.999988425925926</v>
      </c>
      <c r="G2" s="4">
        <v>2.7</v>
      </c>
      <c r="H2" s="4">
        <v>3.6</v>
      </c>
      <c r="I2" s="4">
        <v>4.2</v>
      </c>
      <c r="J2" s="4">
        <v>-1</v>
      </c>
      <c r="K2" s="4">
        <v>-1</v>
      </c>
      <c r="L2" s="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47">
        <v>45051</v>
      </c>
    </row>
    <row r="3" spans="1:24">
      <c r="A3" s="4" t="s">
        <v>41</v>
      </c>
      <c r="B3" s="4">
        <v>20002</v>
      </c>
      <c r="C3" s="4" t="s">
        <v>39</v>
      </c>
      <c r="D3" s="42">
        <v>0</v>
      </c>
      <c r="E3" s="4" t="s">
        <v>40</v>
      </c>
      <c r="F3" s="42">
        <v>0.999988425925926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47">
        <v>45048</v>
      </c>
    </row>
    <row r="4" spans="1:24">
      <c r="A4" s="4" t="s">
        <v>42</v>
      </c>
      <c r="B4" s="4">
        <v>20004</v>
      </c>
      <c r="C4" s="4" t="s">
        <v>39</v>
      </c>
      <c r="D4" s="42">
        <v>0</v>
      </c>
      <c r="E4" s="4" t="s">
        <v>40</v>
      </c>
      <c r="F4" s="42">
        <v>0.999988425925926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47">
        <v>45055</v>
      </c>
    </row>
    <row r="5" spans="1:24">
      <c r="A5" s="4" t="s">
        <v>43</v>
      </c>
      <c r="B5" s="4">
        <v>20006</v>
      </c>
      <c r="C5" s="4" t="s">
        <v>39</v>
      </c>
      <c r="D5" s="42">
        <v>0</v>
      </c>
      <c r="E5" s="4" t="s">
        <v>40</v>
      </c>
      <c r="F5" s="42">
        <v>0.999988425925926</v>
      </c>
      <c r="G5" s="4">
        <v>4.9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47">
        <v>45059</v>
      </c>
    </row>
    <row r="6" spans="1:24">
      <c r="A6" s="4" t="s">
        <v>44</v>
      </c>
      <c r="B6" s="4">
        <v>20008</v>
      </c>
      <c r="C6" s="4" t="s">
        <v>39</v>
      </c>
      <c r="D6" s="42">
        <v>0</v>
      </c>
      <c r="E6" s="4" t="s">
        <v>40</v>
      </c>
      <c r="F6" s="42">
        <v>0.999988425925926</v>
      </c>
      <c r="G6" s="4">
        <v>6.6</v>
      </c>
      <c r="H6" s="4">
        <v>8.8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47">
        <v>45076</v>
      </c>
    </row>
    <row r="7" spans="1:24">
      <c r="A7" s="4" t="s">
        <v>45</v>
      </c>
      <c r="B7" s="4">
        <v>20010</v>
      </c>
      <c r="C7" s="4" t="s">
        <v>39</v>
      </c>
      <c r="D7" s="42">
        <v>0</v>
      </c>
      <c r="E7" s="4" t="s">
        <v>40</v>
      </c>
      <c r="F7" s="42">
        <v>0.999988425925926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47">
        <v>45057</v>
      </c>
    </row>
    <row r="8" spans="1:24">
      <c r="A8" s="4" t="s">
        <v>46</v>
      </c>
      <c r="B8" s="4">
        <v>20012</v>
      </c>
      <c r="C8" s="4" t="s">
        <v>39</v>
      </c>
      <c r="D8" s="42">
        <v>0</v>
      </c>
      <c r="E8" s="4" t="s">
        <v>40</v>
      </c>
      <c r="F8" s="42">
        <v>0.999988425925926</v>
      </c>
      <c r="G8" s="4">
        <v>9.4</v>
      </c>
      <c r="H8" s="4">
        <v>13.8</v>
      </c>
      <c r="I8" s="4">
        <v>16.1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47">
        <v>45052</v>
      </c>
    </row>
    <row r="9" spans="1:24">
      <c r="A9" s="4" t="s">
        <v>47</v>
      </c>
      <c r="B9" s="4">
        <v>20014</v>
      </c>
      <c r="C9" s="4" t="s">
        <v>39</v>
      </c>
      <c r="D9" s="42">
        <v>0</v>
      </c>
      <c r="E9" s="4" t="s">
        <v>40</v>
      </c>
      <c r="F9" s="42">
        <v>0.999988425925926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47">
        <v>45098</v>
      </c>
    </row>
    <row r="10" spans="1:24">
      <c r="A10" s="4" t="s">
        <v>48</v>
      </c>
      <c r="B10" s="4">
        <v>20016</v>
      </c>
      <c r="C10" s="4" t="s">
        <v>39</v>
      </c>
      <c r="D10" s="42">
        <v>0</v>
      </c>
      <c r="E10" s="4" t="s">
        <v>40</v>
      </c>
      <c r="F10" s="42">
        <v>0.999988425925926</v>
      </c>
      <c r="G10" s="4">
        <v>16.1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47">
        <v>45092</v>
      </c>
    </row>
    <row r="11" spans="1:24">
      <c r="A11" s="4" t="s">
        <v>49</v>
      </c>
      <c r="B11" s="4">
        <v>20018</v>
      </c>
      <c r="C11" s="4" t="s">
        <v>39</v>
      </c>
      <c r="D11" s="42">
        <v>0</v>
      </c>
      <c r="E11" s="4" t="s">
        <v>40</v>
      </c>
      <c r="F11" s="42">
        <v>0.999988425925926</v>
      </c>
      <c r="G11" s="4">
        <v>18.4</v>
      </c>
      <c r="H11" s="4">
        <v>27.5</v>
      </c>
      <c r="I11" s="4">
        <v>33.8</v>
      </c>
      <c r="J11" s="4">
        <v>-1</v>
      </c>
      <c r="K11" s="4">
        <v>-1</v>
      </c>
      <c r="L11" s="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47">
        <v>45104</v>
      </c>
    </row>
    <row r="12" spans="1:24">
      <c r="A12" s="4" t="s">
        <v>50</v>
      </c>
      <c r="B12" s="4">
        <v>20020</v>
      </c>
      <c r="C12" s="4" t="s">
        <v>39</v>
      </c>
      <c r="D12" s="42">
        <v>0</v>
      </c>
      <c r="E12" s="4" t="s">
        <v>40</v>
      </c>
      <c r="F12" s="42">
        <v>0.999988425925926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7">
        <v>45116</v>
      </c>
    </row>
    <row r="13" spans="1:24">
      <c r="A13" s="4" t="s">
        <v>51</v>
      </c>
      <c r="B13" s="4">
        <v>20022</v>
      </c>
      <c r="C13" s="4" t="s">
        <v>39</v>
      </c>
      <c r="D13" s="42">
        <v>0</v>
      </c>
      <c r="E13" s="4" t="s">
        <v>40</v>
      </c>
      <c r="F13" s="42">
        <v>0.999988425925926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47">
        <v>45110</v>
      </c>
    </row>
    <row r="14" spans="1:24">
      <c r="A14" s="4" t="s">
        <v>52</v>
      </c>
      <c r="B14" s="4">
        <v>20024</v>
      </c>
      <c r="C14" s="4" t="s">
        <v>39</v>
      </c>
      <c r="D14" s="42">
        <v>0</v>
      </c>
      <c r="E14" s="4" t="s">
        <v>40</v>
      </c>
      <c r="F14" s="42">
        <v>0.999988425925926</v>
      </c>
      <c r="G14" s="4">
        <v>23.5</v>
      </c>
      <c r="H14" s="4">
        <v>34.7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47">
        <v>45095</v>
      </c>
    </row>
    <row r="15" spans="1:24">
      <c r="A15" s="4" t="s">
        <v>53</v>
      </c>
      <c r="B15" s="4">
        <v>20026</v>
      </c>
      <c r="C15" s="4" t="s">
        <v>39</v>
      </c>
      <c r="D15" s="42">
        <v>0</v>
      </c>
      <c r="E15" s="4" t="s">
        <v>40</v>
      </c>
      <c r="F15" s="42">
        <v>0.999988425925926</v>
      </c>
      <c r="G15" s="4">
        <v>26.8</v>
      </c>
      <c r="H15" s="4">
        <v>39.3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47">
        <v>45113</v>
      </c>
    </row>
    <row r="16" spans="1:24">
      <c r="A16" s="4" t="s">
        <v>54</v>
      </c>
      <c r="B16" s="4">
        <v>20028</v>
      </c>
      <c r="C16" s="4" t="s">
        <v>39</v>
      </c>
      <c r="D16" s="42">
        <v>0</v>
      </c>
      <c r="E16" s="4" t="s">
        <v>40</v>
      </c>
      <c r="F16" s="42">
        <v>0.999988425925926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47">
        <v>45063</v>
      </c>
    </row>
    <row r="17" spans="1:24">
      <c r="A17" s="4" t="s">
        <v>55</v>
      </c>
      <c r="B17" s="4">
        <v>20030</v>
      </c>
      <c r="C17" s="4" t="s">
        <v>39</v>
      </c>
      <c r="D17" s="42">
        <v>0</v>
      </c>
      <c r="E17" s="4" t="s">
        <v>40</v>
      </c>
      <c r="F17" s="42">
        <v>0.999988425925926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47">
        <v>45071</v>
      </c>
    </row>
    <row r="18" spans="1:24">
      <c r="A18" s="4" t="s">
        <v>56</v>
      </c>
      <c r="B18" s="4">
        <v>20032</v>
      </c>
      <c r="C18" s="4" t="s">
        <v>39</v>
      </c>
      <c r="D18" s="42">
        <v>0</v>
      </c>
      <c r="E18" s="4" t="s">
        <v>40</v>
      </c>
      <c r="F18" s="42">
        <v>0.999988425925926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47">
        <v>45085</v>
      </c>
    </row>
    <row r="19" spans="1:24">
      <c r="A19" s="4" t="s">
        <v>57</v>
      </c>
      <c r="B19" s="4">
        <v>20034</v>
      </c>
      <c r="C19" s="4" t="s">
        <v>39</v>
      </c>
      <c r="D19" s="42">
        <v>0</v>
      </c>
      <c r="E19" s="4" t="s">
        <v>40</v>
      </c>
      <c r="F19" s="42">
        <v>0.999988425925926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47">
        <v>45099</v>
      </c>
    </row>
    <row r="20" spans="1:24">
      <c r="A20" s="4" t="s">
        <v>58</v>
      </c>
      <c r="B20" s="4">
        <v>20036</v>
      </c>
      <c r="C20" s="4" t="s">
        <v>39</v>
      </c>
      <c r="D20" s="42">
        <v>0</v>
      </c>
      <c r="E20" s="4" t="s">
        <v>40</v>
      </c>
      <c r="F20" s="42">
        <v>0.999988425925926</v>
      </c>
      <c r="G20" s="4">
        <v>33.8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47">
        <v>45091</v>
      </c>
    </row>
    <row r="21" spans="1:24">
      <c r="A21" s="4" t="s">
        <v>59</v>
      </c>
      <c r="B21" s="4">
        <v>20038</v>
      </c>
      <c r="C21" s="4" t="s">
        <v>39</v>
      </c>
      <c r="D21" s="42">
        <v>0</v>
      </c>
      <c r="E21" s="4" t="s">
        <v>40</v>
      </c>
      <c r="F21" s="42">
        <v>0.999988425925926</v>
      </c>
      <c r="G21" s="4">
        <v>34.7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47">
        <v>45079</v>
      </c>
    </row>
    <row r="22" spans="1:24">
      <c r="A22" s="4" t="s">
        <v>60</v>
      </c>
      <c r="B22" s="4">
        <v>20040</v>
      </c>
      <c r="C22" s="4" t="s">
        <v>39</v>
      </c>
      <c r="D22" s="42">
        <v>0</v>
      </c>
      <c r="E22" s="4" t="s">
        <v>40</v>
      </c>
      <c r="F22" s="42">
        <v>0.999988425925926</v>
      </c>
      <c r="G22" s="4">
        <v>36.5</v>
      </c>
      <c r="H22" s="4">
        <v>54.6</v>
      </c>
      <c r="I22" s="4">
        <v>65.9</v>
      </c>
      <c r="J22" s="4">
        <v>-1</v>
      </c>
      <c r="K22" s="4">
        <v>-1</v>
      </c>
      <c r="L22" s="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47">
        <v>45075</v>
      </c>
    </row>
    <row r="23" spans="1:24">
      <c r="A23" s="4" t="s">
        <v>61</v>
      </c>
      <c r="B23" s="4">
        <v>20042</v>
      </c>
      <c r="C23" s="4" t="s">
        <v>39</v>
      </c>
      <c r="D23" s="42">
        <v>0</v>
      </c>
      <c r="E23" s="4" t="s">
        <v>40</v>
      </c>
      <c r="F23" s="42">
        <v>0.999988425925926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47">
        <v>45110</v>
      </c>
    </row>
    <row r="24" spans="1:24">
      <c r="A24" s="4" t="s">
        <v>62</v>
      </c>
      <c r="B24" s="4">
        <v>20044</v>
      </c>
      <c r="C24" s="4" t="s">
        <v>39</v>
      </c>
      <c r="D24" s="42">
        <v>0</v>
      </c>
      <c r="E24" s="4" t="s">
        <v>40</v>
      </c>
      <c r="F24" s="42">
        <v>0.999988425925926</v>
      </c>
      <c r="G24" s="4">
        <v>38.7</v>
      </c>
      <c r="H24" s="4">
        <v>59.2</v>
      </c>
      <c r="I24" s="4">
        <v>70.4</v>
      </c>
      <c r="J24" s="4">
        <v>-1</v>
      </c>
      <c r="K24" s="4">
        <v>-1</v>
      </c>
      <c r="L24" s="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47">
        <v>45114</v>
      </c>
    </row>
    <row r="25" spans="1:24">
      <c r="A25" s="4" t="s">
        <v>63</v>
      </c>
      <c r="B25" s="4">
        <v>20046</v>
      </c>
      <c r="C25" s="4" t="s">
        <v>39</v>
      </c>
      <c r="D25" s="42">
        <v>0</v>
      </c>
      <c r="E25" s="4" t="s">
        <v>40</v>
      </c>
      <c r="F25" s="42">
        <v>0.999988425925926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47">
        <v>45118</v>
      </c>
    </row>
    <row r="26" spans="1:24">
      <c r="A26" s="4" t="s">
        <v>64</v>
      </c>
      <c r="B26" s="4">
        <v>20048</v>
      </c>
      <c r="C26" s="4" t="s">
        <v>39</v>
      </c>
      <c r="D26" s="42">
        <v>0</v>
      </c>
      <c r="E26" s="4" t="s">
        <v>40</v>
      </c>
      <c r="F26" s="42">
        <v>0.999988425925926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7">
        <v>45142</v>
      </c>
    </row>
    <row r="27" spans="1:24">
      <c r="A27" s="4" t="s">
        <v>65</v>
      </c>
      <c r="B27" s="4">
        <v>20050</v>
      </c>
      <c r="C27" s="4" t="s">
        <v>39</v>
      </c>
      <c r="D27" s="42">
        <v>0</v>
      </c>
      <c r="E27" s="4" t="s">
        <v>40</v>
      </c>
      <c r="F27" s="42">
        <v>0.999988425925926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47">
        <v>45146</v>
      </c>
    </row>
    <row r="28" spans="1:24">
      <c r="A28" s="4" t="s">
        <v>66</v>
      </c>
      <c r="B28" s="4">
        <v>20052</v>
      </c>
      <c r="C28" s="4" t="s">
        <v>39</v>
      </c>
      <c r="D28" s="42">
        <v>0</v>
      </c>
      <c r="E28" s="4" t="s">
        <v>40</v>
      </c>
      <c r="F28" s="42">
        <v>0.999988425925926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47">
        <v>45108</v>
      </c>
    </row>
    <row r="29" spans="1:24">
      <c r="A29" s="4" t="s">
        <v>67</v>
      </c>
      <c r="B29" s="4">
        <v>20054</v>
      </c>
      <c r="C29" s="4" t="s">
        <v>39</v>
      </c>
      <c r="D29" s="42">
        <v>0</v>
      </c>
      <c r="E29" s="4" t="s">
        <v>40</v>
      </c>
      <c r="F29" s="42">
        <v>0.999988425925926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47">
        <v>45153</v>
      </c>
    </row>
    <row r="30" spans="1:24">
      <c r="A30" s="4" t="s">
        <v>68</v>
      </c>
      <c r="B30" s="4">
        <v>20058</v>
      </c>
      <c r="C30" s="4" t="s">
        <v>39</v>
      </c>
      <c r="D30" s="42">
        <v>0</v>
      </c>
      <c r="E30" s="4" t="s">
        <v>40</v>
      </c>
      <c r="F30" s="42">
        <v>0.999988425925926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47">
        <v>45150</v>
      </c>
    </row>
    <row r="31" spans="1:24">
      <c r="A31" s="4" t="s">
        <v>69</v>
      </c>
      <c r="B31" s="4">
        <v>20060</v>
      </c>
      <c r="C31" s="4" t="s">
        <v>39</v>
      </c>
      <c r="D31" s="42">
        <v>0</v>
      </c>
      <c r="E31" s="4" t="s">
        <v>40</v>
      </c>
      <c r="F31" s="42">
        <v>0.999988425925926</v>
      </c>
      <c r="G31" s="4">
        <v>45</v>
      </c>
      <c r="H31" s="4">
        <v>65.9</v>
      </c>
      <c r="I31" s="4">
        <v>79.4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47">
        <v>45157</v>
      </c>
    </row>
    <row r="32" spans="1:24">
      <c r="A32" s="4" t="s">
        <v>70</v>
      </c>
      <c r="B32" s="4">
        <v>21000</v>
      </c>
      <c r="C32" s="4" t="s">
        <v>39</v>
      </c>
      <c r="D32" s="42">
        <v>0</v>
      </c>
      <c r="E32" s="4" t="s">
        <v>40</v>
      </c>
      <c r="F32" s="42">
        <v>0.999988425925926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47">
        <v>45143</v>
      </c>
    </row>
    <row r="33" spans="1:24">
      <c r="A33" s="4" t="s">
        <v>71</v>
      </c>
      <c r="B33" s="4">
        <v>21002</v>
      </c>
      <c r="C33" s="4" t="s">
        <v>39</v>
      </c>
      <c r="D33" s="42">
        <v>0</v>
      </c>
      <c r="E33" s="4" t="s">
        <v>40</v>
      </c>
      <c r="F33" s="42">
        <v>0.999988425925926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47">
        <v>45166</v>
      </c>
    </row>
    <row r="34" spans="1:24">
      <c r="A34" s="4" t="s">
        <v>72</v>
      </c>
      <c r="B34" s="4">
        <v>21004</v>
      </c>
      <c r="C34" s="4" t="s">
        <v>39</v>
      </c>
      <c r="D34" s="42">
        <v>0</v>
      </c>
      <c r="E34" s="4" t="s">
        <v>40</v>
      </c>
      <c r="F34" s="42">
        <v>0.999988425925926</v>
      </c>
      <c r="G34" s="4">
        <v>43.3</v>
      </c>
      <c r="H34" s="4">
        <v>63.6</v>
      </c>
      <c r="I34" s="4">
        <v>79.4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47">
        <v>45162</v>
      </c>
    </row>
    <row r="35" spans="1:24">
      <c r="A35" s="4" t="s">
        <v>73</v>
      </c>
      <c r="B35" s="4">
        <v>21006</v>
      </c>
      <c r="C35" s="4" t="s">
        <v>39</v>
      </c>
      <c r="D35" s="42">
        <v>0</v>
      </c>
      <c r="E35" s="4" t="s">
        <v>40</v>
      </c>
      <c r="F35" s="42">
        <v>0.999988425925926</v>
      </c>
      <c r="G35" s="4">
        <v>44.5</v>
      </c>
      <c r="H35" s="4">
        <v>65.9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47">
        <v>45160</v>
      </c>
    </row>
    <row r="36" spans="1:24">
      <c r="A36" s="4" t="s">
        <v>74</v>
      </c>
      <c r="B36" s="4">
        <v>21008</v>
      </c>
      <c r="C36" s="4" t="s">
        <v>39</v>
      </c>
      <c r="D36" s="42">
        <v>0</v>
      </c>
      <c r="E36" s="4" t="s">
        <v>40</v>
      </c>
      <c r="F36" s="42">
        <v>0.999988425925926</v>
      </c>
      <c r="G36" s="4">
        <v>47.3</v>
      </c>
      <c r="H36" s="4">
        <v>70.4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47">
        <v>45179</v>
      </c>
    </row>
    <row r="37" spans="1:24">
      <c r="A37" s="4" t="s">
        <v>75</v>
      </c>
      <c r="B37" s="4">
        <v>21010</v>
      </c>
      <c r="C37" s="4" t="s">
        <v>39</v>
      </c>
      <c r="D37" s="42">
        <v>0</v>
      </c>
      <c r="E37" s="4" t="s">
        <v>40</v>
      </c>
      <c r="F37" s="42">
        <v>0.999988425925926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47">
        <v>45157</v>
      </c>
    </row>
    <row r="38" spans="1:24">
      <c r="A38" s="4" t="s">
        <v>76</v>
      </c>
      <c r="B38" s="4">
        <v>21012</v>
      </c>
      <c r="C38" s="4" t="s">
        <v>39</v>
      </c>
      <c r="D38" s="42">
        <v>0</v>
      </c>
      <c r="E38" s="4" t="s">
        <v>40</v>
      </c>
      <c r="F38" s="42">
        <v>0.999988425925926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47">
        <v>45143</v>
      </c>
    </row>
    <row r="39" spans="1:24">
      <c r="A39" s="4" t="s">
        <v>77</v>
      </c>
      <c r="B39" s="4">
        <v>21014</v>
      </c>
      <c r="C39" s="4" t="s">
        <v>39</v>
      </c>
      <c r="D39" s="42">
        <v>0</v>
      </c>
      <c r="E39" s="4" t="s">
        <v>40</v>
      </c>
      <c r="F39" s="42">
        <v>0.999988425925926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47">
        <v>45166</v>
      </c>
    </row>
    <row r="40" spans="1:24">
      <c r="A40" s="4" t="s">
        <v>78</v>
      </c>
      <c r="B40" s="4">
        <v>21016</v>
      </c>
      <c r="C40" s="4" t="s">
        <v>39</v>
      </c>
      <c r="D40" s="42">
        <v>0</v>
      </c>
      <c r="E40" s="4" t="s">
        <v>40</v>
      </c>
      <c r="F40" s="42">
        <v>0.999988425925926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47">
        <v>45162</v>
      </c>
    </row>
  </sheetData>
  <conditionalFormatting sqref="A1">
    <cfRule type="cellIs" dxfId="0" priority="3" operator="equal">
      <formula>-1</formula>
    </cfRule>
    <cfRule type="cellIs" dxfId="0" priority="2" operator="equal">
      <formula>-1</formula>
    </cfRule>
  </conditionalFormatting>
  <conditionalFormatting sqref="A$1:A$1048576">
    <cfRule type="duplicateValues" dxfId="1" priority="5"/>
  </conditionalFormatting>
  <conditionalFormatting sqref="B$1:B$1048576">
    <cfRule type="duplicateValues" dxfId="1" priority="4"/>
  </conditionalFormatting>
  <conditionalFormatting sqref="A2:AA40">
    <cfRule type="cellIs" dxfId="0" priority="1" operator="equal">
      <formula>-1</formula>
    </cfRule>
  </conditionalFormatting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topLeftCell="C1" workbookViewId="0">
      <selection activeCell="C6" sqref="C6"/>
    </sheetView>
  </sheetViews>
  <sheetFormatPr defaultColWidth="11" defaultRowHeight="14.4" outlineLevelCol="4"/>
  <cols>
    <col min="1" max="1" width="8.39814814814815" style="4" customWidth="1"/>
    <col min="2" max="2" width="65.7962962962963" style="4" customWidth="1"/>
    <col min="3" max="3" width="211.222222222222" style="4" customWidth="1"/>
    <col min="4" max="4" width="11" style="4"/>
    <col min="5" max="5" width="14.3981481481481" style="4" customWidth="1"/>
    <col min="6" max="16384" width="11" style="4"/>
  </cols>
  <sheetData>
    <row r="1" spans="1:5">
      <c r="A1" s="38" t="s">
        <v>79</v>
      </c>
      <c r="B1" s="38" t="s">
        <v>80</v>
      </c>
      <c r="C1" s="38" t="s">
        <v>81</v>
      </c>
      <c r="E1" s="38" t="s">
        <v>82</v>
      </c>
    </row>
    <row r="2" spans="1:3">
      <c r="A2" s="1"/>
      <c r="B2" s="39" t="s">
        <v>83</v>
      </c>
      <c r="C2" s="1"/>
    </row>
    <row r="3" spans="1:5">
      <c r="A3" s="40">
        <v>1</v>
      </c>
      <c r="B3" s="1" t="s">
        <v>84</v>
      </c>
      <c r="C3" s="1" t="s">
        <v>85</v>
      </c>
      <c r="E3" s="4">
        <v>5</v>
      </c>
    </row>
    <row r="4" spans="1:5">
      <c r="A4" s="40">
        <v>2</v>
      </c>
      <c r="B4" s="1" t="s">
        <v>86</v>
      </c>
      <c r="C4" s="1" t="s">
        <v>87</v>
      </c>
      <c r="E4" s="4">
        <v>5</v>
      </c>
    </row>
    <row r="5" spans="1:5">
      <c r="A5" s="40">
        <v>3</v>
      </c>
      <c r="B5" s="1" t="s">
        <v>88</v>
      </c>
      <c r="C5" s="53" t="s">
        <v>89</v>
      </c>
      <c r="E5" s="4">
        <v>10</v>
      </c>
    </row>
    <row r="6" spans="1:5">
      <c r="A6" s="40">
        <v>4</v>
      </c>
      <c r="B6" s="1" t="s">
        <v>90</v>
      </c>
      <c r="C6" s="1" t="s">
        <v>91</v>
      </c>
      <c r="E6" s="4">
        <v>5</v>
      </c>
    </row>
    <row r="7" ht="13.8" spans="1:3">
      <c r="A7" s="1"/>
      <c r="B7" s="1"/>
      <c r="C7" s="1"/>
    </row>
    <row r="13" spans="5:5">
      <c r="E13" s="1"/>
    </row>
    <row r="14" spans="5:5">
      <c r="E14" s="1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0"/>
  <sheetViews>
    <sheetView topLeftCell="A8" workbookViewId="0">
      <selection activeCell="G15" sqref="G15"/>
    </sheetView>
  </sheetViews>
  <sheetFormatPr defaultColWidth="11" defaultRowHeight="13.8"/>
  <cols>
    <col min="1" max="1" width="18.6018518518519" style="1" customWidth="1"/>
    <col min="2" max="6" width="15.3981481481481" style="1" customWidth="1"/>
    <col min="7" max="7" width="11" style="1"/>
    <col min="8" max="8" width="14.3981481481481" style="1" customWidth="1"/>
    <col min="9" max="16384" width="11" style="1"/>
  </cols>
  <sheetData>
    <row r="1" s="3" customFormat="1" ht="21" spans="1:2">
      <c r="A1" s="30" t="str">
        <f>IFERROR(INDEX(Dataset!$B$2:$F$21,MATCH($A2,Dataset!$A$2:$A$21,0),MATCH(B$1,Dataset!$B$1:$F$1,0)),"")</f>
        <v/>
      </c>
      <c r="B1" s="3" t="s">
        <v>92</v>
      </c>
    </row>
    <row r="2" s="3" customFormat="1" ht="21" spans="2:2">
      <c r="B2" s="3" t="s">
        <v>93</v>
      </c>
    </row>
    <row r="3" ht="14.4" spans="1:7">
      <c r="A3" s="4"/>
      <c r="B3" s="4"/>
      <c r="C3" s="4"/>
      <c r="D3" s="4"/>
      <c r="E3" s="4"/>
      <c r="F3" s="4"/>
      <c r="G3" s="4"/>
    </row>
    <row r="4" ht="23.4" spans="1:7">
      <c r="A4" s="9" t="s">
        <v>94</v>
      </c>
      <c r="B4" s="4"/>
      <c r="C4" s="4"/>
      <c r="D4" s="4"/>
      <c r="E4" s="4"/>
      <c r="F4" s="4"/>
      <c r="G4" s="4"/>
    </row>
    <row r="5" ht="14.4" spans="1:6">
      <c r="A5" s="31" t="s">
        <v>14</v>
      </c>
      <c r="B5" s="32" t="s">
        <v>20</v>
      </c>
      <c r="C5" s="33" t="s">
        <v>27</v>
      </c>
      <c r="D5" s="34" t="s">
        <v>31</v>
      </c>
      <c r="E5" s="33" t="s">
        <v>33</v>
      </c>
      <c r="F5" s="35" t="s">
        <v>35</v>
      </c>
    </row>
    <row r="6" ht="14.4" spans="1:6">
      <c r="A6" s="15" t="s">
        <v>38</v>
      </c>
      <c r="B6" s="16">
        <f>VLOOKUP(A6,[1]Dataset!A1:I40,7,0)</f>
        <v>2.7</v>
      </c>
      <c r="C6" s="16">
        <f>VLOOKUP(A6,[1]Dataset!A2:O40,14,0)</f>
        <v>7.6</v>
      </c>
      <c r="D6" s="16">
        <f>VLOOKUP(A6,[1]Dataset!A2:R40,18,0)</f>
        <v>4.2</v>
      </c>
      <c r="E6" s="16">
        <f>VLOOKUP(A6,[1]Dataset!A2:T40,19,0)</f>
        <v>7.6</v>
      </c>
      <c r="F6" s="36">
        <f>VLOOKUP(A6,[1]Dataset!A2:W40,21,0)</f>
        <v>3.6</v>
      </c>
    </row>
    <row r="7" ht="14.4" spans="1:14">
      <c r="A7" s="15" t="s">
        <v>41</v>
      </c>
      <c r="B7" s="16">
        <f>VLOOKUP(A7,[1]Dataset!A2:I41,7,0)</f>
        <v>2.7</v>
      </c>
      <c r="C7" s="16">
        <f>VLOOKUP(A7,[1]Dataset!A3:O41,14,0)</f>
        <v>7.6</v>
      </c>
      <c r="D7" s="16">
        <f>VLOOKUP(A7,[1]Dataset!A3:R41,18,0)</f>
        <v>4.2</v>
      </c>
      <c r="E7" s="16">
        <f>VLOOKUP(A7,[1]Dataset!A3:T41,19,0)</f>
        <v>7.6</v>
      </c>
      <c r="F7" s="36">
        <f>VLOOKUP(A7,[1]Dataset!A3:W41,21,0)</f>
        <v>3.6</v>
      </c>
      <c r="N7" s="37" t="str">
        <f>IFERROR(VLOOKUP($A2,Dataset!$A:$F,COLUMN()-1,FALSE),"")</f>
        <v/>
      </c>
    </row>
    <row r="8" ht="14.4" spans="1:6">
      <c r="A8" s="15" t="s">
        <v>42</v>
      </c>
      <c r="B8" s="16">
        <f>VLOOKUP(A8,[1]Dataset!A3:I42,7,0)</f>
        <v>3.6</v>
      </c>
      <c r="C8" s="16">
        <f>VLOOKUP(A8,[1]Dataset!A4:O42,14,0)</f>
        <v>11.1</v>
      </c>
      <c r="D8" s="16">
        <f>VLOOKUP(A8,[1]Dataset!A4:R42,18,0)</f>
        <v>5.8</v>
      </c>
      <c r="E8" s="16">
        <f>VLOOKUP(A8,[1]Dataset!A4:T42,19,0)</f>
        <v>11.1</v>
      </c>
      <c r="F8" s="36">
        <f>VLOOKUP(A8,[1]Dataset!A4:W42,21,0)</f>
        <v>5.4</v>
      </c>
    </row>
    <row r="9" ht="14.4" spans="1:6">
      <c r="A9" s="15" t="s">
        <v>43</v>
      </c>
      <c r="B9" s="16">
        <f>VLOOKUP(A9,[1]Dataset!A4:I43,7,0)</f>
        <v>4.9</v>
      </c>
      <c r="C9" s="16">
        <f>VLOOKUP(A9,[1]Dataset!A5:O43,14,0)</f>
        <v>13.3</v>
      </c>
      <c r="D9" s="16">
        <f>VLOOKUP(A9,[1]Dataset!A5:R43,18,0)</f>
        <v>8.1</v>
      </c>
      <c r="E9" s="16">
        <f>VLOOKUP(A9,[1]Dataset!A5:T43,19,0)</f>
        <v>13.3</v>
      </c>
      <c r="F9" s="36">
        <f>VLOOKUP(A9,[1]Dataset!A5:W43,21,0)</f>
        <v>6.6</v>
      </c>
    </row>
    <row r="10" ht="14.4" spans="1:9">
      <c r="A10" s="15" t="s">
        <v>46</v>
      </c>
      <c r="B10" s="16">
        <f>VLOOKUP(A10,[1]Dataset!A5:I44,7,0)</f>
        <v>9.4</v>
      </c>
      <c r="C10" s="16">
        <f>VLOOKUP(A10,[1]Dataset!A6:O44,14,0)</f>
        <v>28.3</v>
      </c>
      <c r="D10" s="16">
        <f>VLOOKUP(A10,[1]Dataset!A6:R44,18,0)</f>
        <v>16.1</v>
      </c>
      <c r="E10" s="16">
        <f>VLOOKUP(A10,[1]Dataset!A6:T44,19,0)</f>
        <v>28.3</v>
      </c>
      <c r="F10" s="36">
        <f>VLOOKUP(A10,[1]Dataset!A6:W44,21,0)</f>
        <v>13.8</v>
      </c>
      <c r="I10" s="1" t="str">
        <f>IFERROR(INDEX(Dataset!$B:$F,MATCH($A2,Dataset!$A:$A,0),MATCH(COLUMN()-1,Dataset!$B$1:$F$1,0)),"")</f>
        <v/>
      </c>
    </row>
    <row r="11" ht="14.4" spans="1:6">
      <c r="A11" s="15" t="s">
        <v>47</v>
      </c>
      <c r="B11" s="16">
        <f>VLOOKUP(A11,[1]Dataset!A6:I45,7,0)</f>
        <v>11.6</v>
      </c>
      <c r="C11" s="16">
        <f>VLOOKUP(A11,[1]Dataset!A7:O45,14,0)</f>
        <v>35.2</v>
      </c>
      <c r="D11" s="16">
        <f>VLOOKUP(A11,[1]Dataset!A7:R45,18,0)</f>
        <v>21.3</v>
      </c>
      <c r="E11" s="16">
        <f>VLOOKUP(A11,[1]Dataset!A7:T45,19,0)</f>
        <v>35.2</v>
      </c>
      <c r="F11" s="36">
        <f>VLOOKUP(A11,[1]Dataset!A7:W45,21,0)</f>
        <v>17.3</v>
      </c>
    </row>
    <row r="12" ht="14.4" spans="1:6">
      <c r="A12" s="15" t="s">
        <v>49</v>
      </c>
      <c r="B12" s="16">
        <f>VLOOKUP(A12,[1]Dataset!A7:I46,7,0)</f>
        <v>18.4</v>
      </c>
      <c r="C12" s="16">
        <f>VLOOKUP(A12,[1]Dataset!A8:O46,14,0)</f>
        <v>55.6</v>
      </c>
      <c r="D12" s="16">
        <f>VLOOKUP(A12,[1]Dataset!A8:R46,18,0)</f>
        <v>33.8</v>
      </c>
      <c r="E12" s="16">
        <f>VLOOKUP(A12,[1]Dataset!A8:T46,19,0)</f>
        <v>55.6</v>
      </c>
      <c r="F12" s="36">
        <f>VLOOKUP(A12,[1]Dataset!A8:W46,21,0)</f>
        <v>27.5</v>
      </c>
    </row>
    <row r="13" ht="14.4" spans="1:6">
      <c r="A13" s="15" t="s">
        <v>50</v>
      </c>
      <c r="B13" s="16">
        <f>VLOOKUP(A13,[1]Dataset!A8:I47,7,0)</f>
        <v>0</v>
      </c>
      <c r="C13" s="16">
        <f>VLOOKUP(A13,[1]Dataset!A9:O47,14,0)</f>
        <v>0</v>
      </c>
      <c r="D13" s="16">
        <f>VLOOKUP(A13,[1]Dataset!A9:R47,18,0)</f>
        <v>0</v>
      </c>
      <c r="E13" s="16">
        <f>VLOOKUP(A13,[1]Dataset!A9:T47,19,0)</f>
        <v>0</v>
      </c>
      <c r="F13" s="36">
        <f>VLOOKUP(A13,[1]Dataset!A9:W47,21,0)</f>
        <v>0</v>
      </c>
    </row>
    <row r="14" ht="14.4" spans="1:6">
      <c r="A14" s="15" t="s">
        <v>51</v>
      </c>
      <c r="B14" s="16">
        <f>VLOOKUP(A14,[1]Dataset!A9:I48,7,0)</f>
        <v>21.9</v>
      </c>
      <c r="C14" s="16">
        <f>VLOOKUP(A14,[1]Dataset!A10:O48,14,0)</f>
        <v>61.5</v>
      </c>
      <c r="D14" s="16">
        <f>VLOOKUP(A14,[1]Dataset!A10:R48,18,0)</f>
        <v>40.1</v>
      </c>
      <c r="E14" s="16">
        <f>VLOOKUP(A14,[1]Dataset!A10:T48,19,0)</f>
        <v>61.5</v>
      </c>
      <c r="F14" s="36">
        <f>VLOOKUP(A14,[1]Dataset!A10:W48,21,0)</f>
        <v>32.1</v>
      </c>
    </row>
    <row r="15" ht="14.4" spans="1:6">
      <c r="A15" s="15" t="s">
        <v>53</v>
      </c>
      <c r="B15" s="16">
        <f>VLOOKUP(A15,[1]Dataset!A10:I49,7,0)</f>
        <v>26.8</v>
      </c>
      <c r="C15" s="16">
        <f>VLOOKUP(A15,[1]Dataset!A11:O49,14,0)</f>
        <v>79.6</v>
      </c>
      <c r="D15" s="16">
        <f>VLOOKUP(A15,[1]Dataset!A11:R49,18,0)</f>
        <v>47.9</v>
      </c>
      <c r="E15" s="16">
        <f>VLOOKUP(A15,[1]Dataset!A11:T49,19,0)</f>
        <v>79.6</v>
      </c>
      <c r="F15" s="36">
        <f>VLOOKUP(A15,[1]Dataset!A11:W49,21,0)</f>
        <v>39.3</v>
      </c>
    </row>
    <row r="16" ht="14.4" spans="1:6">
      <c r="A16" s="15" t="s">
        <v>55</v>
      </c>
      <c r="B16" s="16">
        <f>VLOOKUP(A16,[1]Dataset!A11:I50,7,0)</f>
        <v>28.5</v>
      </c>
      <c r="C16" s="16">
        <f>VLOOKUP(A16,[1]Dataset!A12:O50,14,0)</f>
        <v>85.4</v>
      </c>
      <c r="D16" s="16">
        <f>VLOOKUP(A16,[1]Dataset!A12:R50,18,0)</f>
        <v>52.3</v>
      </c>
      <c r="E16" s="16">
        <f>VLOOKUP(A16,[1]Dataset!A12:T50,19,0)</f>
        <v>85.4</v>
      </c>
      <c r="F16" s="36">
        <f>VLOOKUP(A16,[1]Dataset!A12:W50,21,0)</f>
        <v>42.3</v>
      </c>
    </row>
    <row r="17" ht="14.4" spans="1:6">
      <c r="A17" s="15" t="s">
        <v>57</v>
      </c>
      <c r="B17" s="16">
        <f>VLOOKUP(A17,[1]Dataset!A12:I51,7,0)</f>
        <v>30.7</v>
      </c>
      <c r="C17" s="16">
        <f>VLOOKUP(A17,[1]Dataset!A13:O51,14,0)</f>
        <v>92.1</v>
      </c>
      <c r="D17" s="16">
        <f>VLOOKUP(A17,[1]Dataset!A13:R51,18,0)</f>
        <v>57</v>
      </c>
      <c r="E17" s="16">
        <f>VLOOKUP(A17,[1]Dataset!A13:T51,19,0)</f>
        <v>92.1</v>
      </c>
      <c r="F17" s="36">
        <f>VLOOKUP(A17,[1]Dataset!A13:W51,21,0)</f>
        <v>45.5</v>
      </c>
    </row>
    <row r="18" ht="14.4" spans="1:6">
      <c r="A18" s="15" t="s">
        <v>58</v>
      </c>
      <c r="B18" s="16">
        <f>VLOOKUP(A18,[1]Dataset!A13:I52,7,0)</f>
        <v>33.8</v>
      </c>
      <c r="C18" s="16">
        <f>VLOOKUP(A18,[1]Dataset!A14:O52,14,0)</f>
        <v>101.3</v>
      </c>
      <c r="D18" s="16">
        <f>VLOOKUP(A18,[1]Dataset!A14:R52,18,0)</f>
        <v>61.4</v>
      </c>
      <c r="E18" s="16">
        <f>VLOOKUP(A18,[1]Dataset!A14:T52,19,0)</f>
        <v>101.3</v>
      </c>
      <c r="F18" s="36">
        <f>VLOOKUP(A18,[1]Dataset!A14:W52,21,0)</f>
        <v>50.1</v>
      </c>
    </row>
    <row r="19" ht="14.4" spans="1:6">
      <c r="A19" s="15" t="s">
        <v>59</v>
      </c>
      <c r="B19" s="16">
        <f>VLOOKUP(A19,[1]Dataset!A14:I53,7,0)</f>
        <v>34.7</v>
      </c>
      <c r="C19" s="16">
        <f>VLOOKUP(A19,[1]Dataset!A15:O53,14,0)</f>
        <v>106.1</v>
      </c>
      <c r="D19" s="16">
        <f>VLOOKUP(A19,[1]Dataset!A15:R53,18,0)</f>
        <v>63.6</v>
      </c>
      <c r="E19" s="16">
        <f>VLOOKUP(A19,[1]Dataset!A15:T53,19,0)</f>
        <v>106.1</v>
      </c>
      <c r="F19" s="36">
        <f>VLOOKUP(A19,[1]Dataset!A15:W53,21,0)</f>
        <v>52.3</v>
      </c>
    </row>
    <row r="20" ht="14.4" spans="1:6">
      <c r="A20" s="15" t="s">
        <v>64</v>
      </c>
      <c r="B20" s="16">
        <f>VLOOKUP(A20,[1]Dataset!A15:I54,7,0)</f>
        <v>0</v>
      </c>
      <c r="C20" s="16">
        <f>VLOOKUP(A20,[1]Dataset!A16:O54,14,0)</f>
        <v>0</v>
      </c>
      <c r="D20" s="16">
        <f>VLOOKUP(A20,[1]Dataset!A16:R54,18,0)</f>
        <v>0</v>
      </c>
      <c r="E20" s="16">
        <f>VLOOKUP(A20,[1]Dataset!A16:T54,19,0)</f>
        <v>0</v>
      </c>
      <c r="F20" s="36">
        <f>VLOOKUP(A20,[1]Dataset!A16:W54,21,0)</f>
        <v>0</v>
      </c>
    </row>
    <row r="21" ht="14.4" spans="1:6">
      <c r="A21" s="15" t="s">
        <v>65</v>
      </c>
      <c r="B21" s="16">
        <f>VLOOKUP(A21,[1]Dataset!A16:I55,7,0)</f>
        <v>41.3</v>
      </c>
      <c r="C21" s="16">
        <f>VLOOKUP(A21,[1]Dataset!A17:O55,14,0)</f>
        <v>124.4</v>
      </c>
      <c r="D21" s="16">
        <f>VLOOKUP(A21,[1]Dataset!A17:R55,18,0)</f>
        <v>75</v>
      </c>
      <c r="E21" s="16">
        <f>VLOOKUP(A21,[1]Dataset!A17:T55,19,0)</f>
        <v>124.4</v>
      </c>
      <c r="F21" s="36">
        <f>VLOOKUP(A21,[1]Dataset!A17:W55,21,0)</f>
        <v>61.4</v>
      </c>
    </row>
    <row r="22" ht="14.4" spans="1:6">
      <c r="A22" s="15" t="s">
        <v>68</v>
      </c>
      <c r="B22" s="16">
        <f>VLOOKUP(A22,[1]Dataset!A17:I56,7,0)</f>
        <v>-1</v>
      </c>
      <c r="C22" s="16">
        <f>VLOOKUP(A22,[1]Dataset!A18:O56,14,0)</f>
        <v>-1</v>
      </c>
      <c r="D22" s="16">
        <f>VLOOKUP(A22,[1]Dataset!A18:R56,18,0)</f>
        <v>-1</v>
      </c>
      <c r="E22" s="16">
        <f>VLOOKUP(A22,[1]Dataset!A18:T56,19,0)</f>
        <v>-1</v>
      </c>
      <c r="F22" s="36">
        <f>VLOOKUP(A22,[1]Dataset!A18:W56,21,0)</f>
        <v>-1</v>
      </c>
    </row>
    <row r="23" ht="14.4" spans="1:6">
      <c r="A23" s="15" t="s">
        <v>69</v>
      </c>
      <c r="B23" s="16">
        <f>VLOOKUP(A23,[1]Dataset!A18:I57,7,0)</f>
        <v>45</v>
      </c>
      <c r="C23" s="16">
        <f>VLOOKUP(A23,[1]Dataset!A19:O57,14,0)</f>
        <v>133.4</v>
      </c>
      <c r="D23" s="16">
        <f>VLOOKUP(A23,[1]Dataset!A19:R57,18,0)</f>
        <v>79.4</v>
      </c>
      <c r="E23" s="16">
        <f>VLOOKUP(A23,[1]Dataset!A19:T57,19,0)</f>
        <v>133.4</v>
      </c>
      <c r="F23" s="36">
        <f>VLOOKUP(A23,[1]Dataset!A19:W57,21,0)</f>
        <v>65.9</v>
      </c>
    </row>
    <row r="24" ht="14.4" spans="1:6">
      <c r="A24" s="15" t="s">
        <v>70</v>
      </c>
      <c r="B24" s="16">
        <f>VLOOKUP(A24,[1]Dataset!A19:I58,7,0)</f>
        <v>-1</v>
      </c>
      <c r="C24" s="16">
        <f>VLOOKUP(A24,[1]Dataset!A20:O58,14,0)</f>
        <v>-1</v>
      </c>
      <c r="D24" s="16">
        <f>VLOOKUP(A24,[1]Dataset!A20:R58,18,0)</f>
        <v>-1</v>
      </c>
      <c r="E24" s="16">
        <f>VLOOKUP(A24,[1]Dataset!A20:T58,19,0)</f>
        <v>-1</v>
      </c>
      <c r="F24" s="36">
        <f>VLOOKUP(A24,[1]Dataset!A20:W58,21,0)</f>
        <v>-1</v>
      </c>
    </row>
    <row r="25" ht="14.4" spans="1:6">
      <c r="A25" s="15" t="s">
        <v>72</v>
      </c>
      <c r="B25" s="16">
        <f>VLOOKUP(A25,[1]Dataset!A20:I59,7,0)</f>
        <v>43.3</v>
      </c>
      <c r="C25" s="16">
        <f>VLOOKUP(A25,[1]Dataset!A21:O59,14,0)</f>
        <v>128.6</v>
      </c>
      <c r="D25" s="16">
        <f>VLOOKUP(A25,[1]Dataset!A21:R59,18,0)</f>
        <v>79.4</v>
      </c>
      <c r="E25" s="16">
        <f>VLOOKUP(A25,[1]Dataset!A21:T59,19,0)</f>
        <v>128.6</v>
      </c>
      <c r="F25" s="36">
        <f>VLOOKUP(A25,[1]Dataset!A21:W59,21,0)</f>
        <v>63.6</v>
      </c>
    </row>
    <row r="26" ht="14.4" spans="1:6">
      <c r="A26" s="15" t="s">
        <v>76</v>
      </c>
      <c r="B26" s="16">
        <f>VLOOKUP(A26,[1]Dataset!A21:I60,7,0)</f>
        <v>49.1</v>
      </c>
      <c r="C26" s="16">
        <f>VLOOKUP(A26,[1]Dataset!A22:O60,14,0)</f>
        <v>146.8</v>
      </c>
      <c r="D26" s="16">
        <f>VLOOKUP(A26,[1]Dataset!A22:R60,18,0)</f>
        <v>90.9</v>
      </c>
      <c r="E26" s="16">
        <f>VLOOKUP(A26,[1]Dataset!A22:T60,19,0)</f>
        <v>146.8</v>
      </c>
      <c r="F26" s="36">
        <f>VLOOKUP(A26,[1]Dataset!A22:W60,21,0)</f>
        <v>72.8</v>
      </c>
    </row>
    <row r="27" ht="14.4" spans="1:6">
      <c r="A27" s="15" t="s">
        <v>78</v>
      </c>
      <c r="B27" s="16">
        <f>VLOOKUP(A27,[1]Dataset!A22:I61,7,0)</f>
        <v>51.8</v>
      </c>
      <c r="C27" s="16">
        <f>VLOOKUP(A27,[1]Dataset!A23:O61,14,0)</f>
        <v>156.4</v>
      </c>
      <c r="D27" s="16">
        <f>VLOOKUP(A27,[1]Dataset!A23:R61,18,0)</f>
        <v>93.1</v>
      </c>
      <c r="E27" s="16">
        <f>VLOOKUP(A27,[1]Dataset!A23:T61,19,0)</f>
        <v>156.4</v>
      </c>
      <c r="F27" s="36">
        <f>VLOOKUP(A27,[1]Dataset!A23:W61,21,0)</f>
        <v>77.2</v>
      </c>
    </row>
    <row r="28" ht="14.4" spans="1:6">
      <c r="A28" s="22" t="s">
        <v>95</v>
      </c>
      <c r="B28" s="1">
        <f t="shared" ref="B28:F28" si="0">MIN(B6:B27)</f>
        <v>-1</v>
      </c>
      <c r="C28" s="1">
        <f t="shared" si="0"/>
        <v>-1</v>
      </c>
      <c r="D28" s="1">
        <f t="shared" si="0"/>
        <v>-1</v>
      </c>
      <c r="E28" s="1">
        <f t="shared" si="0"/>
        <v>-1</v>
      </c>
      <c r="F28" s="1">
        <f t="shared" si="0"/>
        <v>-1</v>
      </c>
    </row>
    <row r="29" ht="14.4" spans="1:6">
      <c r="A29" s="22" t="s">
        <v>96</v>
      </c>
      <c r="B29" s="1">
        <f t="shared" ref="B29:F29" si="1">MAX(B6:B27)</f>
        <v>51.8</v>
      </c>
      <c r="C29" s="1">
        <f t="shared" si="1"/>
        <v>156.4</v>
      </c>
      <c r="D29" s="1">
        <f t="shared" si="1"/>
        <v>93.1</v>
      </c>
      <c r="E29" s="1">
        <f t="shared" si="1"/>
        <v>156.4</v>
      </c>
      <c r="F29" s="1">
        <f t="shared" si="1"/>
        <v>77.2</v>
      </c>
    </row>
    <row r="30" ht="14.4" spans="1:6">
      <c r="A30" s="22" t="s">
        <v>97</v>
      </c>
      <c r="B30" s="1">
        <f t="shared" ref="B30:F30" si="2">AVERAGE(B6:B27)</f>
        <v>20.8272727272727</v>
      </c>
      <c r="C30" s="1">
        <f t="shared" si="2"/>
        <v>62.3772727272727</v>
      </c>
      <c r="D30" s="1">
        <f t="shared" si="2"/>
        <v>37.8</v>
      </c>
      <c r="E30" s="1">
        <f t="shared" si="2"/>
        <v>62.3772727272727</v>
      </c>
      <c r="F30" s="1">
        <f t="shared" si="2"/>
        <v>30.8318181818182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4"/>
  <sheetViews>
    <sheetView tabSelected="1" topLeftCell="A3" workbookViewId="0">
      <selection activeCell="H12" sqref="H12"/>
    </sheetView>
  </sheetViews>
  <sheetFormatPr defaultColWidth="11" defaultRowHeight="14.4"/>
  <cols>
    <col min="1" max="1" width="39.7962962962963" style="4" customWidth="1"/>
    <col min="2" max="16384" width="11" style="4"/>
  </cols>
  <sheetData>
    <row r="1" s="3" customFormat="1" ht="21" spans="1:2">
      <c r="A1" s="2" t="s">
        <v>10</v>
      </c>
      <c r="B1" s="3" t="s">
        <v>98</v>
      </c>
    </row>
    <row r="2" customFormat="1" ht="13.2"/>
    <row r="3" s="1" customFormat="1" spans="2:2">
      <c r="B3" s="4"/>
    </row>
    <row r="4" s="1" customFormat="1" spans="2:2">
      <c r="B4" s="4" t="s">
        <v>99</v>
      </c>
    </row>
    <row r="5" ht="19.2" spans="1:2">
      <c r="A5" s="5" t="s">
        <v>100</v>
      </c>
      <c r="B5" s="6" t="s">
        <v>101</v>
      </c>
    </row>
    <row r="6" ht="19.2" spans="1:2">
      <c r="A6" s="5" t="s">
        <v>102</v>
      </c>
      <c r="B6" s="25" t="s">
        <v>103</v>
      </c>
    </row>
    <row r="7" ht="19.2" spans="1:2">
      <c r="A7" s="5"/>
      <c r="B7" s="25" t="s">
        <v>104</v>
      </c>
    </row>
    <row r="8" ht="19.2" spans="2:2">
      <c r="B8" s="25" t="s">
        <v>105</v>
      </c>
    </row>
    <row r="9" ht="23.4" spans="1:10">
      <c r="A9" s="9" t="s">
        <v>106</v>
      </c>
      <c r="B9" s="25" t="s">
        <v>107</v>
      </c>
      <c r="I9" s="1"/>
      <c r="J9" s="1"/>
    </row>
    <row r="10" spans="1:10">
      <c r="A10" s="26" t="s">
        <v>108</v>
      </c>
      <c r="B10" s="13" t="s">
        <v>109</v>
      </c>
      <c r="C10" s="13" t="s">
        <v>110</v>
      </c>
      <c r="D10" s="13" t="s">
        <v>111</v>
      </c>
      <c r="E10" s="13" t="s">
        <v>112</v>
      </c>
      <c r="F10" s="13" t="s">
        <v>113</v>
      </c>
      <c r="I10" s="1"/>
      <c r="J10" s="1"/>
    </row>
    <row r="11" spans="1:10">
      <c r="A11" s="19" t="s">
        <v>114</v>
      </c>
      <c r="B11" s="20">
        <v>20000</v>
      </c>
      <c r="C11" s="20" t="s">
        <v>39</v>
      </c>
      <c r="D11" s="20">
        <v>0</v>
      </c>
      <c r="E11" s="27" t="s">
        <v>40</v>
      </c>
      <c r="F11" s="27">
        <v>24</v>
      </c>
      <c r="I11" s="1"/>
      <c r="J11" s="1"/>
    </row>
    <row r="14" ht="23.4" spans="1:1">
      <c r="A14" s="9" t="s">
        <v>94</v>
      </c>
    </row>
    <row r="15" spans="1:6">
      <c r="A15" s="12" t="s">
        <v>115</v>
      </c>
      <c r="B15" s="13"/>
      <c r="C15" s="28"/>
      <c r="D15" s="13"/>
      <c r="E15" s="28"/>
      <c r="F15" s="13" t="s">
        <v>113</v>
      </c>
    </row>
    <row r="16" spans="1:6">
      <c r="A16" s="15">
        <v>20000</v>
      </c>
      <c r="B16" s="16" t="s">
        <v>39</v>
      </c>
      <c r="C16" s="4">
        <v>0</v>
      </c>
      <c r="D16" s="16" t="s">
        <v>40</v>
      </c>
      <c r="E16" s="4">
        <v>24</v>
      </c>
      <c r="F16" s="16"/>
    </row>
    <row r="17" spans="1:6">
      <c r="A17" s="15">
        <v>20002</v>
      </c>
      <c r="B17" s="16" t="s">
        <v>39</v>
      </c>
      <c r="C17" s="4">
        <v>0</v>
      </c>
      <c r="D17" s="16" t="s">
        <v>40</v>
      </c>
      <c r="E17" s="4">
        <v>24</v>
      </c>
      <c r="F17" s="16"/>
    </row>
    <row r="18" spans="1:6">
      <c r="A18" s="15">
        <v>20004</v>
      </c>
      <c r="B18" s="16" t="s">
        <v>39</v>
      </c>
      <c r="C18" s="4">
        <v>0</v>
      </c>
      <c r="D18" s="16" t="s">
        <v>40</v>
      </c>
      <c r="E18" s="4">
        <v>24</v>
      </c>
      <c r="F18" s="16"/>
    </row>
    <row r="19" spans="1:6">
      <c r="A19" s="15">
        <v>20006</v>
      </c>
      <c r="B19" s="16" t="s">
        <v>39</v>
      </c>
      <c r="C19" s="4">
        <v>0</v>
      </c>
      <c r="D19" s="16" t="s">
        <v>40</v>
      </c>
      <c r="E19" s="4">
        <v>24</v>
      </c>
      <c r="F19" s="16"/>
    </row>
    <row r="20" spans="1:6">
      <c r="A20" s="15">
        <v>20008</v>
      </c>
      <c r="B20" s="16" t="s">
        <v>39</v>
      </c>
      <c r="C20" s="4">
        <v>0</v>
      </c>
      <c r="D20" s="16" t="s">
        <v>40</v>
      </c>
      <c r="E20" s="4">
        <v>24</v>
      </c>
      <c r="F20" s="16"/>
    </row>
    <row r="21" spans="1:6">
      <c r="A21" s="15">
        <v>20010</v>
      </c>
      <c r="B21" s="16" t="s">
        <v>39</v>
      </c>
      <c r="C21" s="4">
        <v>0</v>
      </c>
      <c r="D21" s="16" t="s">
        <v>40</v>
      </c>
      <c r="E21" s="4">
        <v>24</v>
      </c>
      <c r="F21" s="16"/>
    </row>
    <row r="22" spans="1:6">
      <c r="A22" s="15">
        <v>20012</v>
      </c>
      <c r="B22" s="16" t="s">
        <v>39</v>
      </c>
      <c r="C22" s="4">
        <v>0</v>
      </c>
      <c r="D22" s="16" t="s">
        <v>40</v>
      </c>
      <c r="E22" s="4">
        <v>24</v>
      </c>
      <c r="F22" s="16"/>
    </row>
    <row r="23" spans="1:6">
      <c r="A23" s="15">
        <v>20014</v>
      </c>
      <c r="B23" s="16" t="s">
        <v>39</v>
      </c>
      <c r="C23" s="4">
        <v>0</v>
      </c>
      <c r="D23" s="16" t="s">
        <v>40</v>
      </c>
      <c r="E23" s="4">
        <v>24</v>
      </c>
      <c r="F23" s="16"/>
    </row>
    <row r="24" spans="1:6">
      <c r="A24" s="15">
        <v>20016</v>
      </c>
      <c r="B24" s="16" t="s">
        <v>39</v>
      </c>
      <c r="C24" s="4">
        <v>0</v>
      </c>
      <c r="D24" s="16" t="s">
        <v>40</v>
      </c>
      <c r="E24" s="4">
        <v>24</v>
      </c>
      <c r="F24" s="16"/>
    </row>
    <row r="25" spans="1:6">
      <c r="A25" s="15">
        <v>20018</v>
      </c>
      <c r="B25" s="16" t="s">
        <v>39</v>
      </c>
      <c r="C25" s="4">
        <v>0</v>
      </c>
      <c r="D25" s="16" t="s">
        <v>40</v>
      </c>
      <c r="E25" s="4">
        <v>24</v>
      </c>
      <c r="F25" s="16"/>
    </row>
    <row r="26" spans="1:6">
      <c r="A26" s="15">
        <v>20020</v>
      </c>
      <c r="B26" s="16" t="s">
        <v>39</v>
      </c>
      <c r="C26" s="4">
        <v>0</v>
      </c>
      <c r="D26" s="16" t="s">
        <v>40</v>
      </c>
      <c r="E26" s="4">
        <v>24</v>
      </c>
      <c r="F26" s="16"/>
    </row>
    <row r="27" spans="1:6">
      <c r="A27" s="15">
        <v>20022</v>
      </c>
      <c r="B27" s="16" t="s">
        <v>39</v>
      </c>
      <c r="C27" s="4">
        <v>0</v>
      </c>
      <c r="D27" s="16" t="s">
        <v>40</v>
      </c>
      <c r="E27" s="4">
        <v>24</v>
      </c>
      <c r="F27" s="16"/>
    </row>
    <row r="28" spans="1:6">
      <c r="A28" s="15">
        <v>20024</v>
      </c>
      <c r="B28" s="16" t="s">
        <v>39</v>
      </c>
      <c r="C28" s="4">
        <v>0</v>
      </c>
      <c r="D28" s="16" t="s">
        <v>40</v>
      </c>
      <c r="E28" s="4">
        <v>24</v>
      </c>
      <c r="F28" s="16"/>
    </row>
    <row r="29" spans="1:6">
      <c r="A29" s="15">
        <v>20026</v>
      </c>
      <c r="B29" s="16" t="s">
        <v>39</v>
      </c>
      <c r="C29" s="4">
        <v>0</v>
      </c>
      <c r="D29" s="16" t="s">
        <v>40</v>
      </c>
      <c r="E29" s="4">
        <v>24</v>
      </c>
      <c r="F29" s="16"/>
    </row>
    <row r="30" spans="1:6">
      <c r="A30" s="15">
        <v>20028</v>
      </c>
      <c r="B30" s="16" t="s">
        <v>39</v>
      </c>
      <c r="C30" s="4">
        <v>0</v>
      </c>
      <c r="D30" s="16" t="s">
        <v>40</v>
      </c>
      <c r="E30" s="4">
        <v>24</v>
      </c>
      <c r="F30" s="16"/>
    </row>
    <row r="31" spans="1:6">
      <c r="A31" s="15">
        <v>20030</v>
      </c>
      <c r="B31" s="16" t="s">
        <v>39</v>
      </c>
      <c r="C31" s="4">
        <v>0</v>
      </c>
      <c r="D31" s="16" t="s">
        <v>40</v>
      </c>
      <c r="E31" s="4">
        <v>24</v>
      </c>
      <c r="F31" s="16"/>
    </row>
    <row r="32" spans="1:6">
      <c r="A32" s="15">
        <v>20032</v>
      </c>
      <c r="B32" s="16" t="s">
        <v>39</v>
      </c>
      <c r="C32" s="4">
        <v>0</v>
      </c>
      <c r="D32" s="16" t="s">
        <v>40</v>
      </c>
      <c r="E32" s="4">
        <v>24</v>
      </c>
      <c r="F32" s="16"/>
    </row>
    <row r="33" spans="1:6">
      <c r="A33" s="15">
        <v>20034</v>
      </c>
      <c r="B33" s="16" t="s">
        <v>39</v>
      </c>
      <c r="C33" s="4">
        <v>0</v>
      </c>
      <c r="D33" s="16" t="s">
        <v>40</v>
      </c>
      <c r="E33" s="4">
        <v>24</v>
      </c>
      <c r="F33" s="16"/>
    </row>
    <row r="34" spans="1:6">
      <c r="A34" s="15">
        <v>20036</v>
      </c>
      <c r="B34" s="16" t="s">
        <v>39</v>
      </c>
      <c r="C34" s="4">
        <v>0</v>
      </c>
      <c r="D34" s="16" t="s">
        <v>40</v>
      </c>
      <c r="E34" s="4">
        <v>24</v>
      </c>
      <c r="F34" s="16"/>
    </row>
    <row r="35" spans="1:6">
      <c r="A35" s="15">
        <v>20038</v>
      </c>
      <c r="B35" s="16" t="s">
        <v>39</v>
      </c>
      <c r="C35" s="4">
        <v>0</v>
      </c>
      <c r="D35" s="16" t="s">
        <v>40</v>
      </c>
      <c r="E35" s="4">
        <v>24</v>
      </c>
      <c r="F35" s="16"/>
    </row>
    <row r="36" spans="1:6">
      <c r="A36" s="15">
        <v>20040</v>
      </c>
      <c r="B36" s="16" t="s">
        <v>39</v>
      </c>
      <c r="C36" s="4">
        <v>0</v>
      </c>
      <c r="D36" s="16" t="s">
        <v>40</v>
      </c>
      <c r="E36" s="4">
        <v>24</v>
      </c>
      <c r="F36" s="16"/>
    </row>
    <row r="37" spans="1:6">
      <c r="A37" s="15">
        <v>20042</v>
      </c>
      <c r="B37" s="16" t="s">
        <v>39</v>
      </c>
      <c r="C37" s="4">
        <v>0</v>
      </c>
      <c r="D37" s="16" t="s">
        <v>40</v>
      </c>
      <c r="E37" s="4">
        <v>24</v>
      </c>
      <c r="F37" s="16"/>
    </row>
    <row r="38" spans="1:6">
      <c r="A38" s="15">
        <v>20044</v>
      </c>
      <c r="B38" s="16" t="s">
        <v>39</v>
      </c>
      <c r="C38" s="4">
        <v>0</v>
      </c>
      <c r="D38" s="16" t="s">
        <v>40</v>
      </c>
      <c r="E38" s="4">
        <v>24</v>
      </c>
      <c r="F38" s="16"/>
    </row>
    <row r="39" spans="1:6">
      <c r="A39" s="15">
        <v>20046</v>
      </c>
      <c r="B39" s="16" t="s">
        <v>39</v>
      </c>
      <c r="C39" s="4">
        <v>0</v>
      </c>
      <c r="D39" s="16" t="s">
        <v>40</v>
      </c>
      <c r="E39" s="4">
        <v>24</v>
      </c>
      <c r="F39" s="16"/>
    </row>
    <row r="40" spans="1:6">
      <c r="A40" s="15">
        <v>20048</v>
      </c>
      <c r="B40" s="16" t="s">
        <v>39</v>
      </c>
      <c r="C40" s="4">
        <v>0</v>
      </c>
      <c r="D40" s="16" t="s">
        <v>40</v>
      </c>
      <c r="E40" s="4">
        <v>24</v>
      </c>
      <c r="F40" s="16"/>
    </row>
    <row r="41" spans="1:6">
      <c r="A41" s="15">
        <v>20050</v>
      </c>
      <c r="B41" s="16" t="s">
        <v>39</v>
      </c>
      <c r="C41" s="4">
        <v>0</v>
      </c>
      <c r="D41" s="16" t="s">
        <v>40</v>
      </c>
      <c r="E41" s="4">
        <v>24</v>
      </c>
      <c r="F41" s="16"/>
    </row>
    <row r="42" spans="1:6">
      <c r="A42" s="15">
        <v>20052</v>
      </c>
      <c r="B42" s="16" t="s">
        <v>39</v>
      </c>
      <c r="C42" s="4">
        <v>0</v>
      </c>
      <c r="D42" s="16" t="s">
        <v>40</v>
      </c>
      <c r="E42" s="4">
        <v>24</v>
      </c>
      <c r="F42" s="16"/>
    </row>
    <row r="43" spans="1:6">
      <c r="A43" s="15">
        <v>20054</v>
      </c>
      <c r="B43" s="16" t="s">
        <v>39</v>
      </c>
      <c r="C43" s="4">
        <v>0</v>
      </c>
      <c r="D43" s="16" t="s">
        <v>40</v>
      </c>
      <c r="E43" s="4">
        <v>24</v>
      </c>
      <c r="F43" s="16"/>
    </row>
    <row r="44" spans="1:6">
      <c r="A44" s="15">
        <v>20058</v>
      </c>
      <c r="B44" s="16" t="s">
        <v>39</v>
      </c>
      <c r="C44" s="4">
        <v>0</v>
      </c>
      <c r="D44" s="16" t="s">
        <v>40</v>
      </c>
      <c r="E44" s="4">
        <v>24</v>
      </c>
      <c r="F44" s="16"/>
    </row>
    <row r="45" spans="1:6">
      <c r="A45" s="15">
        <v>20060</v>
      </c>
      <c r="B45" s="16" t="s">
        <v>39</v>
      </c>
      <c r="C45" s="4">
        <v>0</v>
      </c>
      <c r="D45" s="16" t="s">
        <v>40</v>
      </c>
      <c r="E45" s="4">
        <v>24</v>
      </c>
      <c r="F45" s="16"/>
    </row>
    <row r="46" spans="1:6">
      <c r="A46" s="15">
        <v>21000</v>
      </c>
      <c r="B46" s="16" t="s">
        <v>39</v>
      </c>
      <c r="C46" s="4">
        <v>0</v>
      </c>
      <c r="D46" s="16" t="s">
        <v>40</v>
      </c>
      <c r="E46" s="4">
        <v>24</v>
      </c>
      <c r="F46" s="16"/>
    </row>
    <row r="47" spans="1:6">
      <c r="A47" s="15">
        <v>21002</v>
      </c>
      <c r="B47" s="16" t="s">
        <v>39</v>
      </c>
      <c r="C47" s="4">
        <v>0</v>
      </c>
      <c r="D47" s="16" t="s">
        <v>40</v>
      </c>
      <c r="E47" s="4">
        <v>24</v>
      </c>
      <c r="F47" s="16"/>
    </row>
    <row r="48" spans="1:6">
      <c r="A48" s="15">
        <v>21004</v>
      </c>
      <c r="B48" s="16" t="s">
        <v>39</v>
      </c>
      <c r="C48" s="4">
        <v>0</v>
      </c>
      <c r="D48" s="16" t="s">
        <v>40</v>
      </c>
      <c r="E48" s="4">
        <v>24</v>
      </c>
      <c r="F48" s="16"/>
    </row>
    <row r="49" spans="1:6">
      <c r="A49" s="15">
        <v>21006</v>
      </c>
      <c r="B49" s="16" t="s">
        <v>39</v>
      </c>
      <c r="C49" s="4">
        <v>0</v>
      </c>
      <c r="D49" s="16" t="s">
        <v>40</v>
      </c>
      <c r="E49" s="4">
        <v>24</v>
      </c>
      <c r="F49" s="16"/>
    </row>
    <row r="50" spans="1:6">
      <c r="A50" s="15">
        <v>21008</v>
      </c>
      <c r="B50" s="16" t="s">
        <v>39</v>
      </c>
      <c r="C50" s="4">
        <v>0</v>
      </c>
      <c r="D50" s="16" t="s">
        <v>40</v>
      </c>
      <c r="E50" s="4">
        <v>24</v>
      </c>
      <c r="F50" s="16"/>
    </row>
    <row r="51" spans="1:6">
      <c r="A51" s="15">
        <v>21010</v>
      </c>
      <c r="B51" s="16" t="s">
        <v>39</v>
      </c>
      <c r="C51" s="4">
        <v>0</v>
      </c>
      <c r="D51" s="16" t="s">
        <v>40</v>
      </c>
      <c r="E51" s="4">
        <v>24</v>
      </c>
      <c r="F51" s="16"/>
    </row>
    <row r="52" spans="1:6">
      <c r="A52" s="15">
        <v>21012</v>
      </c>
      <c r="B52" s="16" t="s">
        <v>39</v>
      </c>
      <c r="C52" s="4">
        <v>0</v>
      </c>
      <c r="D52" s="16" t="s">
        <v>40</v>
      </c>
      <c r="E52" s="4">
        <v>24</v>
      </c>
      <c r="F52" s="16"/>
    </row>
    <row r="53" spans="1:6">
      <c r="A53" s="15">
        <v>21014</v>
      </c>
      <c r="B53" s="16" t="s">
        <v>39</v>
      </c>
      <c r="C53" s="4">
        <v>0</v>
      </c>
      <c r="D53" s="16" t="s">
        <v>40</v>
      </c>
      <c r="E53" s="4">
        <v>24</v>
      </c>
      <c r="F53" s="16"/>
    </row>
    <row r="54" spans="1:6">
      <c r="A54" s="19">
        <v>21016</v>
      </c>
      <c r="B54" s="20" t="s">
        <v>39</v>
      </c>
      <c r="C54" s="29">
        <v>0</v>
      </c>
      <c r="D54" s="20" t="s">
        <v>40</v>
      </c>
      <c r="E54" s="29">
        <v>24</v>
      </c>
      <c r="F54" s="20"/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2"/>
  <sheetViews>
    <sheetView workbookViewId="0">
      <selection activeCell="E12" sqref="E12"/>
    </sheetView>
  </sheetViews>
  <sheetFormatPr defaultColWidth="11" defaultRowHeight="13.8" outlineLevelCol="2"/>
  <cols>
    <col min="1" max="1" width="28.2037037037037" style="1" customWidth="1"/>
    <col min="2" max="2" width="17.7962962962963" style="1" customWidth="1"/>
    <col min="3" max="3" width="11" style="1" customWidth="1"/>
    <col min="4" max="4" width="13.2037037037037" style="1" customWidth="1"/>
    <col min="5" max="5" width="10.7962962962963" style="1" customWidth="1"/>
    <col min="6" max="6" width="13.3981481481481" style="1" customWidth="1"/>
    <col min="7" max="8" width="14.6018518518519" style="1" customWidth="1"/>
    <col min="9" max="9" width="17.7962962962963" style="1" customWidth="1"/>
    <col min="10" max="10" width="11" style="1" customWidth="1"/>
    <col min="11" max="11" width="9" style="1" customWidth="1"/>
    <col min="12" max="12" width="10.7962962962963" style="1" customWidth="1"/>
    <col min="13" max="13" width="12.3981481481481" style="1" customWidth="1"/>
    <col min="14" max="14" width="11" style="1" customWidth="1"/>
    <col min="15" max="15" width="8" style="1" customWidth="1"/>
    <col min="16" max="16" width="12.3981481481481" style="1" customWidth="1"/>
    <col min="17" max="17" width="12.6018518518519" style="1" customWidth="1"/>
    <col min="18" max="18" width="24.2037037037037" style="1" customWidth="1"/>
    <col min="19" max="19" width="12.6018518518519" style="1" customWidth="1"/>
    <col min="20" max="20" width="16" style="1" customWidth="1"/>
    <col min="21" max="21" width="9" style="1" customWidth="1"/>
    <col min="22" max="22" width="10.7962962962963" style="1" customWidth="1"/>
    <col min="23" max="24" width="13.3981481481481" style="1" customWidth="1"/>
    <col min="25" max="25" width="15" style="1" customWidth="1"/>
    <col min="26" max="16384" width="11" style="1"/>
  </cols>
  <sheetData>
    <row r="1" ht="21" spans="1:2">
      <c r="A1" s="2" t="s">
        <v>11</v>
      </c>
      <c r="B1" s="3" t="s">
        <v>116</v>
      </c>
    </row>
    <row r="2" ht="18" spans="2:2">
      <c r="B2" s="23" t="s">
        <v>117</v>
      </c>
    </row>
    <row r="5" ht="14.4" spans="2:2">
      <c r="B5" s="4" t="s">
        <v>99</v>
      </c>
    </row>
    <row r="6" ht="19.2" spans="1:2">
      <c r="A6" s="8" t="s">
        <v>100</v>
      </c>
      <c r="B6" s="6" t="s">
        <v>118</v>
      </c>
    </row>
    <row r="7" ht="19.2" spans="1:2">
      <c r="A7" s="8" t="s">
        <v>102</v>
      </c>
      <c r="B7" s="7" t="s">
        <v>119</v>
      </c>
    </row>
    <row r="8" ht="19.2" spans="2:2">
      <c r="B8" s="7" t="s">
        <v>120</v>
      </c>
    </row>
    <row r="10" ht="23.4" spans="1:1">
      <c r="A10" s="9" t="s">
        <v>94</v>
      </c>
    </row>
    <row r="11" ht="14.4" spans="1:3">
      <c r="A11" s="24" t="s">
        <v>121</v>
      </c>
      <c r="B11" s="13" t="s">
        <v>122</v>
      </c>
      <c r="C11" s="13" t="s">
        <v>123</v>
      </c>
    </row>
    <row r="12" ht="14.4" spans="1:3">
      <c r="A12" s="24">
        <v>44927</v>
      </c>
      <c r="B12" s="13" t="s">
        <v>124</v>
      </c>
      <c r="C12" s="13">
        <v>200</v>
      </c>
    </row>
    <row r="13" ht="14.4" spans="1:3">
      <c r="A13" s="24">
        <v>44928</v>
      </c>
      <c r="B13" s="13" t="s">
        <v>125</v>
      </c>
      <c r="C13" s="13" t="e">
        <v>#N/A</v>
      </c>
    </row>
    <row r="14" ht="14.4" spans="1:3">
      <c r="A14" s="24">
        <v>44929</v>
      </c>
      <c r="B14" s="13" t="s">
        <v>126</v>
      </c>
      <c r="C14" s="13">
        <v>50</v>
      </c>
    </row>
    <row r="15" ht="14.4" spans="1:3">
      <c r="A15" s="24">
        <v>44930</v>
      </c>
      <c r="B15" s="13" t="s">
        <v>127</v>
      </c>
      <c r="C15" s="13" t="e">
        <v>#N/A</v>
      </c>
    </row>
    <row r="16" ht="14.4" spans="1:3">
      <c r="A16" s="24">
        <v>44931</v>
      </c>
      <c r="B16" s="13" t="s">
        <v>128</v>
      </c>
      <c r="C16" s="13">
        <v>10</v>
      </c>
    </row>
    <row r="17" ht="14.4" spans="1:3">
      <c r="A17" s="24">
        <v>44932</v>
      </c>
      <c r="B17" s="13" t="s">
        <v>129</v>
      </c>
      <c r="C17" s="13">
        <v>150</v>
      </c>
    </row>
    <row r="18" ht="14.4" spans="1:3">
      <c r="A18" s="24">
        <v>44933</v>
      </c>
      <c r="B18" s="13" t="s">
        <v>130</v>
      </c>
      <c r="C18" s="13">
        <v>80</v>
      </c>
    </row>
    <row r="19" ht="14.4" spans="1:3">
      <c r="A19" s="24">
        <v>44934</v>
      </c>
      <c r="B19" s="13" t="s">
        <v>131</v>
      </c>
      <c r="C19" s="13" t="e">
        <v>#N/A</v>
      </c>
    </row>
    <row r="20" ht="14.4" spans="1:3">
      <c r="A20" s="24">
        <v>44935</v>
      </c>
      <c r="B20" s="13" t="s">
        <v>132</v>
      </c>
      <c r="C20" s="13">
        <v>30</v>
      </c>
    </row>
    <row r="21" ht="14.4" spans="1:3">
      <c r="A21" s="24">
        <v>44936</v>
      </c>
      <c r="B21" s="13" t="s">
        <v>133</v>
      </c>
      <c r="C21" s="13" t="e">
        <v>#N/A</v>
      </c>
    </row>
    <row r="22" ht="14.4" spans="2:3">
      <c r="B22" s="13" t="s">
        <v>134</v>
      </c>
      <c r="C22" s="11">
        <f>SUM(IFERROR(C11:C21,520))</f>
        <v>520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5"/>
  <sheetViews>
    <sheetView workbookViewId="0">
      <selection activeCell="C23" sqref="C23"/>
    </sheetView>
  </sheetViews>
  <sheetFormatPr defaultColWidth="11" defaultRowHeight="13.8"/>
  <cols>
    <col min="1" max="1" width="28.2037037037037" style="1" customWidth="1"/>
    <col min="2" max="16384" width="11" style="1"/>
  </cols>
  <sheetData>
    <row r="1" ht="21" spans="1:2">
      <c r="A1" s="2"/>
      <c r="B1" s="3" t="s">
        <v>135</v>
      </c>
    </row>
    <row r="3" ht="14.4" spans="2:2">
      <c r="B3" s="4" t="s">
        <v>99</v>
      </c>
    </row>
    <row r="4" ht="19.2" spans="1:3">
      <c r="A4" s="5" t="s">
        <v>100</v>
      </c>
      <c r="B4" s="4"/>
      <c r="C4" s="6" t="s">
        <v>136</v>
      </c>
    </row>
    <row r="5" ht="19.2" spans="1:3">
      <c r="A5" s="5" t="s">
        <v>102</v>
      </c>
      <c r="B5" s="4"/>
      <c r="C5" s="7" t="s">
        <v>137</v>
      </c>
    </row>
    <row r="6" ht="19.2" spans="1:3">
      <c r="A6" s="8"/>
      <c r="B6" s="4"/>
      <c r="C6" s="7" t="s">
        <v>138</v>
      </c>
    </row>
    <row r="7" ht="19.2" spans="3:3">
      <c r="C7" s="7" t="s">
        <v>139</v>
      </c>
    </row>
    <row r="8" ht="23.4" spans="1:13">
      <c r="A8" s="9" t="s">
        <v>94</v>
      </c>
      <c r="M8" s="9" t="s">
        <v>140</v>
      </c>
    </row>
    <row r="9" ht="14.4" spans="1:14">
      <c r="A9" s="10"/>
      <c r="B9" s="10" t="s">
        <v>141</v>
      </c>
      <c r="C9" s="10" t="s">
        <v>142</v>
      </c>
      <c r="D9" s="10" t="s">
        <v>143</v>
      </c>
      <c r="E9" s="10" t="s">
        <v>144</v>
      </c>
      <c r="F9" s="10" t="s">
        <v>145</v>
      </c>
      <c r="G9" s="10" t="s">
        <v>146</v>
      </c>
      <c r="H9" s="10" t="s">
        <v>147</v>
      </c>
      <c r="I9" s="10" t="s">
        <v>148</v>
      </c>
      <c r="J9" s="10" t="s">
        <v>149</v>
      </c>
      <c r="M9" s="22" t="s">
        <v>15</v>
      </c>
      <c r="N9" s="22" t="s">
        <v>150</v>
      </c>
    </row>
    <row r="10" ht="14.4" spans="1:14">
      <c r="A10" s="10" t="s">
        <v>141</v>
      </c>
      <c r="B10" s="11">
        <v>-1</v>
      </c>
      <c r="C10" s="11">
        <v>95</v>
      </c>
      <c r="D10" s="11">
        <v>-1</v>
      </c>
      <c r="E10" s="11">
        <v>185</v>
      </c>
      <c r="F10" s="11">
        <v>255</v>
      </c>
      <c r="G10" s="11">
        <v>305</v>
      </c>
      <c r="H10" s="11">
        <v>415</v>
      </c>
      <c r="I10" s="11">
        <v>480</v>
      </c>
      <c r="J10" s="11">
        <v>525</v>
      </c>
      <c r="M10" s="16">
        <v>10100</v>
      </c>
      <c r="N10" s="16" t="s">
        <v>141</v>
      </c>
    </row>
    <row r="11" ht="14.4" spans="1:14">
      <c r="A11" s="10" t="s">
        <v>142</v>
      </c>
      <c r="B11" s="11">
        <v>95</v>
      </c>
      <c r="C11" s="11">
        <v>-1</v>
      </c>
      <c r="D11" s="11">
        <v>-1</v>
      </c>
      <c r="E11" s="11">
        <v>90</v>
      </c>
      <c r="F11" s="11">
        <v>160</v>
      </c>
      <c r="G11" s="11">
        <v>210</v>
      </c>
      <c r="H11" s="11">
        <v>325</v>
      </c>
      <c r="I11" s="11">
        <v>390</v>
      </c>
      <c r="J11" s="11">
        <v>430</v>
      </c>
      <c r="M11" s="16">
        <v>10102</v>
      </c>
      <c r="N11" s="16" t="s">
        <v>142</v>
      </c>
    </row>
    <row r="12" ht="14.4" spans="1:14">
      <c r="A12" s="10" t="s">
        <v>143</v>
      </c>
      <c r="B12" s="11">
        <v>-1</v>
      </c>
      <c r="C12" s="11">
        <v>-1</v>
      </c>
      <c r="D12" s="11">
        <v>-1</v>
      </c>
      <c r="E12" s="11">
        <v>60</v>
      </c>
      <c r="F12" s="11">
        <v>130</v>
      </c>
      <c r="G12" s="11">
        <v>180</v>
      </c>
      <c r="H12" s="11">
        <v>295</v>
      </c>
      <c r="I12" s="11">
        <v>355</v>
      </c>
      <c r="J12" s="11">
        <v>400</v>
      </c>
      <c r="M12" s="16">
        <v>10104</v>
      </c>
      <c r="N12" s="16" t="s">
        <v>143</v>
      </c>
    </row>
    <row r="13" ht="14.4" spans="1:14">
      <c r="A13" s="10" t="s">
        <v>144</v>
      </c>
      <c r="B13" s="11">
        <v>185</v>
      </c>
      <c r="C13" s="11">
        <v>90</v>
      </c>
      <c r="D13" s="11">
        <v>60</v>
      </c>
      <c r="E13" s="11">
        <v>-1</v>
      </c>
      <c r="F13" s="11">
        <v>70</v>
      </c>
      <c r="G13" s="11">
        <v>120</v>
      </c>
      <c r="H13" s="11">
        <v>235</v>
      </c>
      <c r="I13" s="11">
        <v>300</v>
      </c>
      <c r="J13" s="11">
        <v>340</v>
      </c>
      <c r="M13" s="16">
        <v>10106</v>
      </c>
      <c r="N13" s="16" t="s">
        <v>144</v>
      </c>
    </row>
    <row r="14" ht="14.4" spans="1:14">
      <c r="A14" s="10" t="s">
        <v>145</v>
      </c>
      <c r="B14" s="11">
        <v>255</v>
      </c>
      <c r="C14" s="11">
        <v>160</v>
      </c>
      <c r="D14" s="11">
        <v>130</v>
      </c>
      <c r="E14" s="11">
        <v>70</v>
      </c>
      <c r="F14" s="11">
        <v>-1</v>
      </c>
      <c r="G14" s="11">
        <v>50</v>
      </c>
      <c r="H14" s="11">
        <v>165</v>
      </c>
      <c r="I14" s="11">
        <v>230</v>
      </c>
      <c r="J14" s="11">
        <v>270</v>
      </c>
      <c r="M14" s="16">
        <v>10108</v>
      </c>
      <c r="N14" s="16" t="s">
        <v>145</v>
      </c>
    </row>
    <row r="15" ht="14.4" spans="1:14">
      <c r="A15" s="10" t="s">
        <v>146</v>
      </c>
      <c r="B15" s="11">
        <v>305</v>
      </c>
      <c r="C15" s="11">
        <v>210</v>
      </c>
      <c r="D15" s="11">
        <v>180</v>
      </c>
      <c r="E15" s="11">
        <v>120</v>
      </c>
      <c r="F15" s="11">
        <v>50</v>
      </c>
      <c r="G15" s="11">
        <v>-1</v>
      </c>
      <c r="H15" s="11">
        <v>115</v>
      </c>
      <c r="I15" s="11">
        <v>180</v>
      </c>
      <c r="J15" s="11">
        <v>220</v>
      </c>
      <c r="M15" s="16">
        <v>10110</v>
      </c>
      <c r="N15" s="16" t="s">
        <v>146</v>
      </c>
    </row>
    <row r="16" ht="14.4" spans="1:14">
      <c r="A16" s="10" t="s">
        <v>147</v>
      </c>
      <c r="B16" s="11">
        <v>415</v>
      </c>
      <c r="C16" s="11">
        <v>325</v>
      </c>
      <c r="D16" s="11">
        <v>295</v>
      </c>
      <c r="E16" s="11">
        <v>235</v>
      </c>
      <c r="F16" s="11">
        <v>165</v>
      </c>
      <c r="G16" s="11">
        <v>115</v>
      </c>
      <c r="H16" s="11">
        <v>-1</v>
      </c>
      <c r="I16" s="11">
        <v>65</v>
      </c>
      <c r="J16" s="11">
        <v>105</v>
      </c>
      <c r="M16" s="16">
        <v>10112</v>
      </c>
      <c r="N16" s="16" t="s">
        <v>147</v>
      </c>
    </row>
    <row r="17" ht="14.4" spans="1:14">
      <c r="A17" s="10" t="s">
        <v>148</v>
      </c>
      <c r="B17" s="11">
        <v>480</v>
      </c>
      <c r="C17" s="11">
        <v>390</v>
      </c>
      <c r="D17" s="11">
        <v>355</v>
      </c>
      <c r="E17" s="11">
        <v>300</v>
      </c>
      <c r="F17" s="11">
        <v>230</v>
      </c>
      <c r="G17" s="11">
        <v>180</v>
      </c>
      <c r="H17" s="11">
        <v>65</v>
      </c>
      <c r="I17" s="11">
        <v>-1</v>
      </c>
      <c r="J17" s="11">
        <v>40</v>
      </c>
      <c r="M17" s="16">
        <v>10114</v>
      </c>
      <c r="N17" s="16" t="s">
        <v>148</v>
      </c>
    </row>
    <row r="18" ht="14.4" spans="1:14">
      <c r="A18" s="10" t="s">
        <v>149</v>
      </c>
      <c r="B18" s="11">
        <v>525</v>
      </c>
      <c r="C18" s="11">
        <v>430</v>
      </c>
      <c r="D18" s="11">
        <v>400</v>
      </c>
      <c r="E18" s="11">
        <v>340</v>
      </c>
      <c r="F18" s="11">
        <v>270</v>
      </c>
      <c r="G18" s="11">
        <v>220</v>
      </c>
      <c r="H18" s="11">
        <v>105</v>
      </c>
      <c r="I18" s="11">
        <v>40</v>
      </c>
      <c r="J18" s="11">
        <v>-1</v>
      </c>
      <c r="M18" s="20">
        <v>10116</v>
      </c>
      <c r="N18" s="20" t="s">
        <v>149</v>
      </c>
    </row>
    <row r="21" ht="23.4" spans="1:1">
      <c r="A21" s="9" t="s">
        <v>151</v>
      </c>
    </row>
    <row r="22" ht="72" spans="1:3">
      <c r="A22" s="12" t="s">
        <v>152</v>
      </c>
      <c r="B22" s="13" t="s">
        <v>153</v>
      </c>
      <c r="C22" s="14" t="s">
        <v>154</v>
      </c>
    </row>
    <row r="23" ht="14.4" spans="1:3">
      <c r="A23" s="15">
        <v>10100</v>
      </c>
      <c r="B23" s="16">
        <v>10102</v>
      </c>
      <c r="C23" s="17"/>
    </row>
    <row r="24" ht="14.4" spans="1:3">
      <c r="A24" s="15">
        <v>10100</v>
      </c>
      <c r="B24" s="16">
        <v>10104</v>
      </c>
      <c r="C24" s="18"/>
    </row>
    <row r="25" ht="14.4" spans="1:3">
      <c r="A25" s="15">
        <v>10108</v>
      </c>
      <c r="B25" s="16">
        <v>10102</v>
      </c>
      <c r="C25" s="18"/>
    </row>
    <row r="26" ht="14.4" spans="1:3">
      <c r="A26" s="15">
        <v>10100</v>
      </c>
      <c r="B26" s="16">
        <v>10106</v>
      </c>
      <c r="C26" s="18"/>
    </row>
    <row r="27" ht="14.4" spans="1:3">
      <c r="A27" s="15">
        <v>10108</v>
      </c>
      <c r="B27" s="16">
        <v>10110</v>
      </c>
      <c r="C27" s="18"/>
    </row>
    <row r="28" ht="14.4" spans="1:3">
      <c r="A28" s="15">
        <v>10102</v>
      </c>
      <c r="B28" s="16">
        <v>10104</v>
      </c>
      <c r="C28" s="18"/>
    </row>
    <row r="29" ht="14.4" spans="1:3">
      <c r="A29" s="15">
        <v>10106</v>
      </c>
      <c r="B29" s="16">
        <v>10108</v>
      </c>
      <c r="C29" s="18"/>
    </row>
    <row r="30" ht="14.4" spans="1:3">
      <c r="A30" s="15">
        <v>10102</v>
      </c>
      <c r="B30" s="16">
        <v>10106</v>
      </c>
      <c r="C30" s="18"/>
    </row>
    <row r="31" ht="14.4" spans="1:3">
      <c r="A31" s="15">
        <v>10110</v>
      </c>
      <c r="B31" s="16">
        <v>10114</v>
      </c>
      <c r="C31" s="18"/>
    </row>
    <row r="32" ht="14.4" spans="1:3">
      <c r="A32" s="15">
        <v>10104</v>
      </c>
      <c r="B32" s="16">
        <v>10106</v>
      </c>
      <c r="C32" s="18"/>
    </row>
    <row r="33" ht="14.4" spans="1:3">
      <c r="A33" s="15">
        <v>10110</v>
      </c>
      <c r="B33" s="16">
        <v>10112</v>
      </c>
      <c r="C33" s="18"/>
    </row>
    <row r="34" ht="14.4" spans="1:3">
      <c r="A34" s="15">
        <v>10100</v>
      </c>
      <c r="B34" s="16">
        <v>10114</v>
      </c>
      <c r="C34" s="18"/>
    </row>
    <row r="35" ht="14.4" spans="1:3">
      <c r="A35" s="19">
        <v>10112</v>
      </c>
      <c r="B35" s="20">
        <v>10116</v>
      </c>
      <c r="C35" s="21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akanksha more</cp:lastModifiedBy>
  <dcterms:created xsi:type="dcterms:W3CDTF">2015-02-10T17:33:00Z</dcterms:created>
  <dcterms:modified xsi:type="dcterms:W3CDTF">2023-12-11T17:32:21Z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7A54FB78D1B7400C9B673BB31981FBA6_12</vt:lpwstr>
  </property>
  <property fmtid="{D5CDD505-2E9C-101B-9397-08002B2CF9AE}" pid="3" name="KSOProductBuildVer">
    <vt:lpwstr>1033-12.2.0.13359</vt:lpwstr>
  </property>
</Properties>
</file>